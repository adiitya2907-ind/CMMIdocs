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Revision History" sheetId="11" r:id="rId1"/>
    <sheet name="Training Coverage" sheetId="7" r:id="rId2"/>
    <sheet name="Training Metrics" sheetId="4" r:id="rId3"/>
    <sheet name="Training Database" sheetId="1" r:id="rId4"/>
    <sheet name="Training Faculty" sheetId="3" r:id="rId5"/>
    <sheet name="Certifications" sheetId="6" r:id="rId6"/>
    <sheet name="Corrective &amp; Preventive Action" sheetId="9" r:id="rId7"/>
    <sheet name="Lessons Learnt" sheetId="10" r:id="rId8"/>
  </sheets>
  <calcPr calcId="162913"/>
</workbook>
</file>

<file path=xl/calcChain.xml><?xml version="1.0" encoding="utf-8"?>
<calcChain xmlns="http://schemas.openxmlformats.org/spreadsheetml/2006/main">
  <c r="E7" i="4" l="1"/>
  <c r="E8" i="4"/>
  <c r="E9" i="4"/>
  <c r="E10" i="4"/>
  <c r="E5" i="4"/>
  <c r="B7" i="4"/>
  <c r="B8" i="4"/>
  <c r="B9" i="4"/>
  <c r="B10" i="4"/>
  <c r="B5" i="4"/>
  <c r="E6" i="4"/>
  <c r="B6" i="4"/>
  <c r="D5" i="7" l="1"/>
  <c r="D6" i="7"/>
  <c r="D7" i="7"/>
  <c r="D8" i="7"/>
  <c r="D9" i="7"/>
  <c r="D10" i="7"/>
  <c r="D11" i="7"/>
  <c r="D12" i="7"/>
  <c r="D13" i="7"/>
  <c r="D14" i="7"/>
  <c r="D15" i="7"/>
  <c r="D16" i="7"/>
  <c r="D17" i="7"/>
  <c r="D4" i="7"/>
  <c r="D18" i="7" s="1"/>
  <c r="C18" i="7"/>
  <c r="B18" i="7"/>
  <c r="K11" i="4" l="1"/>
  <c r="J11" i="4"/>
  <c r="H11" i="4"/>
  <c r="G11" i="4"/>
  <c r="F11" i="4"/>
  <c r="E11" i="4"/>
  <c r="D11" i="4"/>
  <c r="C11" i="4"/>
  <c r="B11" i="4"/>
  <c r="L10" i="4"/>
  <c r="I10" i="4"/>
  <c r="L9" i="4"/>
  <c r="I9" i="4"/>
  <c r="L8" i="4"/>
  <c r="I8" i="4"/>
  <c r="L7" i="4"/>
  <c r="I7" i="4"/>
  <c r="L6" i="4"/>
  <c r="I6" i="4"/>
  <c r="L5" i="4"/>
  <c r="I5" i="4"/>
  <c r="L11" i="4" l="1"/>
  <c r="I11" i="4"/>
</calcChain>
</file>

<file path=xl/comments1.xml><?xml version="1.0" encoding="utf-8"?>
<comments xmlns="http://schemas.openxmlformats.org/spreadsheetml/2006/main">
  <authors>
    <author>Author</author>
  </authors>
  <commentList>
    <comment ref="I3" authorId="0" shapeId="0">
      <text>
        <r>
          <rPr>
            <sz val="8"/>
            <color indexed="81"/>
            <rFont val="Tahoma"/>
            <family val="2"/>
          </rPr>
          <t>This is the trainings conducted against training planned.</t>
        </r>
      </text>
    </comment>
    <comment ref="J3" authorId="0" shapeId="0">
      <text>
        <r>
          <rPr>
            <sz val="8"/>
            <color indexed="81"/>
            <rFont val="Tahoma"/>
            <family val="2"/>
          </rPr>
          <t>This is the attendance (Trainee) planned for the training.</t>
        </r>
      </text>
    </comment>
    <comment ref="K3" authorId="0" shapeId="0">
      <text>
        <r>
          <rPr>
            <sz val="8"/>
            <color indexed="81"/>
            <rFont val="Tahoma"/>
            <family val="2"/>
          </rPr>
          <t>This is the actual attendance (Trainee available) for the training.</t>
        </r>
      </text>
    </comment>
    <comment ref="L3" authorId="0" shapeId="0">
      <text>
        <r>
          <rPr>
            <sz val="8"/>
            <color indexed="81"/>
            <rFont val="Tahoma"/>
            <family val="2"/>
          </rPr>
          <t>% of attendance of a training program in a particular month.</t>
        </r>
      </text>
    </comment>
  </commentList>
</comments>
</file>

<file path=xl/sharedStrings.xml><?xml version="1.0" encoding="utf-8"?>
<sst xmlns="http://schemas.openxmlformats.org/spreadsheetml/2006/main" count="78" uniqueCount="65">
  <si>
    <t>Training Topic</t>
  </si>
  <si>
    <t>Training Database</t>
  </si>
  <si>
    <t>Designation</t>
  </si>
  <si>
    <t>Training Name</t>
  </si>
  <si>
    <t>Trainer Name</t>
  </si>
  <si>
    <t>Status</t>
  </si>
  <si>
    <t>Reasons - if not completed in time</t>
  </si>
  <si>
    <t>Remarks</t>
  </si>
  <si>
    <t>PM Name</t>
  </si>
  <si>
    <t>Internal/External</t>
  </si>
  <si>
    <t>Training Start Date</t>
  </si>
  <si>
    <t>Training End Date</t>
  </si>
  <si>
    <t>Training Duration
(hours)</t>
  </si>
  <si>
    <t>Test Score</t>
  </si>
  <si>
    <t>S. No</t>
  </si>
  <si>
    <t>Training Faculty</t>
  </si>
  <si>
    <t>Average Rating</t>
  </si>
  <si>
    <t xml:space="preserve">Training Analysis </t>
  </si>
  <si>
    <t>Postponed</t>
  </si>
  <si>
    <t>Actual Attendance</t>
  </si>
  <si>
    <t>Attendance %</t>
  </si>
  <si>
    <t>Total</t>
  </si>
  <si>
    <t>Ext</t>
  </si>
  <si>
    <t>Internal</t>
  </si>
  <si>
    <t>&lt;Month 1&gt;</t>
  </si>
  <si>
    <t>&lt;Month 2&gt;</t>
  </si>
  <si>
    <t>&lt;Month 3&gt;</t>
  </si>
  <si>
    <t>&lt;Month 4&gt;</t>
  </si>
  <si>
    <t>&lt;Month 5&gt;</t>
  </si>
  <si>
    <t>&lt;Month 6&gt;</t>
  </si>
  <si>
    <t>Training Conducted</t>
  </si>
  <si>
    <t>Training Planned</t>
  </si>
  <si>
    <t>Certifications</t>
  </si>
  <si>
    <t>Date of issue of Certificate</t>
  </si>
  <si>
    <t>Name of the Certification</t>
  </si>
  <si>
    <t>Resource Name</t>
  </si>
  <si>
    <t>S. No.</t>
  </si>
  <si>
    <t>Training Coverage%</t>
  </si>
  <si>
    <t>Total Resources Identified for Training</t>
  </si>
  <si>
    <t>Mandatory Training Name</t>
  </si>
  <si>
    <t xml:space="preserve">Actual V/s Planned no of Trainings
</t>
  </si>
  <si>
    <t>Training Metrics</t>
  </si>
  <si>
    <t>Resources Completed the Training</t>
  </si>
  <si>
    <r>
      <t xml:space="preserve">Attended
</t>
    </r>
    <r>
      <rPr>
        <sz val="11"/>
        <rFont val="Calibri"/>
        <family val="2"/>
        <scheme val="minor"/>
      </rPr>
      <t>(Yes/No)</t>
    </r>
  </si>
  <si>
    <r>
      <t xml:space="preserve">Expiry/Renewal date of Certificate
</t>
    </r>
    <r>
      <rPr>
        <sz val="11"/>
        <rFont val="Calibri"/>
        <family val="2"/>
        <scheme val="minor"/>
      </rPr>
      <t>(if applicable)</t>
    </r>
  </si>
  <si>
    <t>Nominations
Received</t>
  </si>
  <si>
    <t>Internal/
External</t>
  </si>
  <si>
    <t>CORRECTIVE AND PREVENTIVE ACTION</t>
  </si>
  <si>
    <t>S.No.</t>
  </si>
  <si>
    <t xml:space="preserve">Issue / Variation </t>
  </si>
  <si>
    <t xml:space="preserve">Cause for Variation </t>
  </si>
  <si>
    <t>Corrective Action</t>
  </si>
  <si>
    <t>Owner</t>
  </si>
  <si>
    <t>Status of Corrective Action</t>
  </si>
  <si>
    <t>Lessons Learnt - Best Practices</t>
  </si>
  <si>
    <t>Lesson Learnt/Best Practices</t>
  </si>
  <si>
    <t>Benefit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</si>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</sst>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\-mmm\-yy;@"/>
    <numFmt numFmtId="165" formatCode="mmmm\-yy"/>
    <numFmt numFmtId="166" formatCode="0.0"/>
    <numFmt numFmtId="167" formatCode="[$-409]d\-mmm\-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</cellStyleXfs>
  <cellXfs count="74">
    <xf numFmtId="0" fontId="0" fillId="0" borderId="0" xfId="0"/>
    <xf numFmtId="0" fontId="0" fillId="0" borderId="0" xfId="0" applyFont="1" applyAlignment="1" applyProtection="1">
      <alignment vertical="center"/>
      <protection locked="0"/>
    </xf>
    <xf numFmtId="0" fontId="5" fillId="7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0" fillId="7" borderId="1" xfId="0" applyFont="1" applyFill="1" applyBorder="1" applyAlignment="1" applyProtection="1">
      <alignment horizontal="center" vertical="center" wrapText="1"/>
      <protection locked="0"/>
    </xf>
    <xf numFmtId="0" fontId="0" fillId="6" borderId="0" xfId="0" applyFont="1" applyFill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</xf>
    <xf numFmtId="9" fontId="0" fillId="8" borderId="1" xfId="1" applyFont="1" applyFill="1" applyBorder="1" applyAlignment="1" applyProtection="1">
      <alignment vertical="center"/>
    </xf>
    <xf numFmtId="165" fontId="4" fillId="5" borderId="1" xfId="0" applyNumberFormat="1" applyFont="1" applyFill="1" applyBorder="1" applyAlignment="1" applyProtection="1">
      <alignment horizontal="left" vertical="center" wrapText="1"/>
    </xf>
    <xf numFmtId="0" fontId="4" fillId="5" borderId="1" xfId="0" applyFont="1" applyFill="1" applyBorder="1" applyAlignment="1" applyProtection="1">
      <alignment horizontal="center" vertical="center"/>
    </xf>
    <xf numFmtId="9" fontId="0" fillId="9" borderId="1" xfId="0" applyNumberFormat="1" applyFont="1" applyFill="1" applyBorder="1" applyAlignment="1" applyProtection="1">
      <alignment vertical="center"/>
    </xf>
    <xf numFmtId="165" fontId="4" fillId="3" borderId="3" xfId="0" applyNumberFormat="1" applyFont="1" applyFill="1" applyBorder="1" applyAlignment="1" applyProtection="1">
      <alignment horizontal="left" vertical="center" wrapText="1"/>
      <protection locked="0"/>
    </xf>
    <xf numFmtId="0" fontId="5" fillId="8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Font="1" applyBorder="1" applyAlignment="1" applyProtection="1">
      <alignment horizontal="center" vertical="center" wrapText="1" shrinkToFit="1"/>
      <protection locked="0"/>
    </xf>
    <xf numFmtId="0" fontId="0" fillId="6" borderId="0" xfId="0" applyFont="1" applyFill="1" applyBorder="1" applyAlignment="1" applyProtection="1">
      <alignment vertical="center"/>
      <protection locked="0"/>
    </xf>
    <xf numFmtId="2" fontId="7" fillId="6" borderId="0" xfId="0" applyNumberFormat="1" applyFont="1" applyFill="1" applyBorder="1" applyAlignment="1" applyProtection="1">
      <alignment horizontal="center" vertical="center" wrapText="1"/>
      <protection locked="0"/>
    </xf>
    <xf numFmtId="9" fontId="5" fillId="4" borderId="1" xfId="1" applyFont="1" applyFill="1" applyBorder="1" applyAlignment="1" applyProtection="1">
      <alignment horizontal="center" vertical="center"/>
    </xf>
    <xf numFmtId="9" fontId="5" fillId="4" borderId="1" xfId="0" applyNumberFormat="1" applyFont="1" applyFill="1" applyBorder="1" applyAlignment="1" applyProtection="1">
      <alignment horizontal="center" vertical="center"/>
    </xf>
    <xf numFmtId="165" fontId="4" fillId="5" borderId="4" xfId="0" applyNumberFormat="1" applyFont="1" applyFill="1" applyBorder="1" applyAlignment="1" applyProtection="1">
      <alignment horizontal="left" vertical="center" wrapText="1"/>
    </xf>
    <xf numFmtId="0" fontId="4" fillId="5" borderId="5" xfId="0" applyFont="1" applyFill="1" applyBorder="1" applyAlignment="1" applyProtection="1">
      <alignment horizontal="center" vertical="center"/>
    </xf>
    <xf numFmtId="9" fontId="4" fillId="5" borderId="5" xfId="1" applyFont="1" applyFill="1" applyBorder="1" applyAlignment="1" applyProtection="1">
      <alignment horizontal="center" vertical="center"/>
    </xf>
    <xf numFmtId="1" fontId="4" fillId="5" borderId="5" xfId="1" applyNumberFormat="1" applyFont="1" applyFill="1" applyBorder="1" applyAlignment="1" applyProtection="1">
      <alignment horizontal="center" vertical="center"/>
    </xf>
    <xf numFmtId="9" fontId="4" fillId="5" borderId="5" xfId="0" applyNumberFormat="1" applyFont="1" applyFill="1" applyBorder="1" applyAlignment="1" applyProtection="1">
      <alignment horizontal="center" vertical="center"/>
    </xf>
    <xf numFmtId="0" fontId="0" fillId="0" borderId="0" xfId="0" applyFont="1" applyProtection="1">
      <protection locked="0"/>
    </xf>
    <xf numFmtId="0" fontId="4" fillId="2" borderId="7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/>
    </xf>
    <xf numFmtId="0" fontId="4" fillId="2" borderId="7" xfId="0" applyFont="1" applyFill="1" applyBorder="1" applyAlignment="1" applyProtection="1">
      <alignment horizontal="center" vertical="center"/>
    </xf>
    <xf numFmtId="164" fontId="4" fillId="2" borderId="7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</xf>
    <xf numFmtId="0" fontId="0" fillId="0" borderId="0" xfId="0" applyFont="1" applyAlignment="1" applyProtection="1">
      <alignment wrapText="1"/>
      <protection locked="0"/>
    </xf>
    <xf numFmtId="0" fontId="1" fillId="0" borderId="0" xfId="2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top"/>
      <protection locked="0"/>
    </xf>
    <xf numFmtId="15" fontId="3" fillId="2" borderId="7" xfId="2" applyNumberFormat="1" applyFont="1" applyFill="1" applyBorder="1" applyAlignment="1" applyProtection="1">
      <alignment horizontal="center" vertical="center" wrapText="1"/>
    </xf>
    <xf numFmtId="0" fontId="3" fillId="2" borderId="7" xfId="2" applyFont="1" applyFill="1" applyBorder="1" applyAlignment="1" applyProtection="1">
      <alignment horizontal="center" vertical="center" wrapText="1"/>
    </xf>
    <xf numFmtId="0" fontId="1" fillId="0" borderId="0" xfId="2" applyFont="1" applyAlignment="1" applyProtection="1">
      <alignment horizontal="center" vertical="center"/>
      <protection locked="0"/>
    </xf>
    <xf numFmtId="0" fontId="1" fillId="0" borderId="1" xfId="2" applyNumberFormat="1" applyFont="1" applyBorder="1" applyAlignment="1" applyProtection="1">
      <alignment horizontal="center" vertical="top" wrapText="1"/>
      <protection locked="0"/>
    </xf>
    <xf numFmtId="15" fontId="0" fillId="0" borderId="1" xfId="2" applyNumberFormat="1" applyFont="1" applyBorder="1" applyAlignment="1" applyProtection="1">
      <alignment vertical="top" wrapText="1"/>
      <protection locked="0"/>
    </xf>
    <xf numFmtId="0" fontId="0" fillId="0" borderId="1" xfId="3" applyFont="1" applyBorder="1" applyAlignment="1" applyProtection="1">
      <alignment vertical="top" wrapText="1"/>
      <protection locked="0"/>
    </xf>
    <xf numFmtId="15" fontId="0" fillId="0" borderId="1" xfId="2" applyNumberFormat="1" applyFont="1" applyBorder="1" applyAlignment="1" applyProtection="1">
      <alignment horizontal="center" vertical="top" wrapText="1"/>
      <protection locked="0"/>
    </xf>
    <xf numFmtId="0" fontId="1" fillId="0" borderId="1" xfId="2" applyFont="1" applyBorder="1" applyAlignment="1" applyProtection="1">
      <alignment horizontal="center" vertical="top" wrapText="1"/>
      <protection locked="0"/>
    </xf>
    <xf numFmtId="0" fontId="0" fillId="0" borderId="1" xfId="2" applyFont="1" applyBorder="1" applyAlignment="1" applyProtection="1">
      <alignment vertical="top" wrapText="1"/>
      <protection locked="0"/>
    </xf>
    <xf numFmtId="0" fontId="1" fillId="0" borderId="0" xfId="2" applyFont="1" applyAlignment="1" applyProtection="1">
      <alignment horizontal="center" vertical="top" wrapText="1"/>
      <protection locked="0"/>
    </xf>
    <xf numFmtId="0" fontId="3" fillId="1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6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/>
    </xf>
    <xf numFmtId="0" fontId="6" fillId="2" borderId="11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12" xfId="0" applyFont="1" applyFill="1" applyBorder="1" applyAlignment="1" applyProtection="1">
      <alignment horizontal="center" vertical="center"/>
    </xf>
    <xf numFmtId="0" fontId="6" fillId="2" borderId="13" xfId="0" applyFont="1" applyFill="1" applyBorder="1" applyAlignment="1" applyProtection="1">
      <alignment horizontal="center" vertical="center"/>
    </xf>
    <xf numFmtId="0" fontId="6" fillId="2" borderId="14" xfId="0" applyFont="1" applyFill="1" applyBorder="1" applyAlignment="1" applyProtection="1">
      <alignment horizontal="center" vertical="center"/>
    </xf>
    <xf numFmtId="0" fontId="9" fillId="2" borderId="10" xfId="2" applyFont="1" applyFill="1" applyBorder="1" applyAlignment="1" applyProtection="1">
      <alignment horizontal="center" vertical="center"/>
    </xf>
    <xf numFmtId="0" fontId="9" fillId="2" borderId="11" xfId="2" applyFont="1" applyFill="1" applyBorder="1" applyAlignment="1" applyProtection="1">
      <alignment horizontal="center" vertical="center"/>
    </xf>
    <xf numFmtId="0" fontId="9" fillId="2" borderId="2" xfId="2" applyFont="1" applyFill="1" applyBorder="1" applyAlignment="1" applyProtection="1">
      <alignment horizontal="center" vertical="center"/>
    </xf>
    <xf numFmtId="0" fontId="11" fillId="0" borderId="0" xfId="4" applyFont="1" applyAlignment="1">
      <alignment horizontal="justify"/>
    </xf>
    <xf numFmtId="0" fontId="10" fillId="0" borderId="0" xfId="4"/>
    <xf numFmtId="0" fontId="12" fillId="3" borderId="6" xfId="4" applyFont="1" applyFill="1" applyBorder="1" applyAlignment="1">
      <alignment horizontal="center" vertical="top" wrapText="1"/>
    </xf>
    <xf numFmtId="0" fontId="12" fillId="3" borderId="1" xfId="4" applyFont="1" applyFill="1" applyBorder="1" applyAlignment="1">
      <alignment horizontal="center" vertical="top" wrapText="1"/>
    </xf>
    <xf numFmtId="0" fontId="12" fillId="3" borderId="7" xfId="4" applyFont="1" applyFill="1" applyBorder="1" applyAlignment="1">
      <alignment horizontal="center" vertical="top" wrapText="1"/>
    </xf>
    <xf numFmtId="0" fontId="12" fillId="3" borderId="15" xfId="4" applyFont="1" applyFill="1" applyBorder="1" applyAlignment="1">
      <alignment horizontal="center" vertical="top" wrapText="1"/>
    </xf>
    <xf numFmtId="0" fontId="12" fillId="3" borderId="16" xfId="4" applyFont="1" applyFill="1" applyBorder="1" applyAlignment="1">
      <alignment horizontal="center" vertical="top" wrapText="1"/>
    </xf>
    <xf numFmtId="0" fontId="12" fillId="3" borderId="17" xfId="4" applyFont="1" applyFill="1" applyBorder="1" applyAlignment="1">
      <alignment horizontal="center" vertical="top" wrapText="1"/>
    </xf>
    <xf numFmtId="166" fontId="13" fillId="0" borderId="1" xfId="4" applyNumberFormat="1" applyFont="1" applyBorder="1" applyAlignment="1">
      <alignment horizontal="center" vertical="top" wrapText="1"/>
    </xf>
    <xf numFmtId="167" fontId="13" fillId="0" borderId="1" xfId="4" applyNumberFormat="1" applyFont="1" applyBorder="1" applyAlignment="1">
      <alignment horizontal="center" vertical="top" wrapText="1"/>
    </xf>
    <xf numFmtId="0" fontId="13" fillId="0" borderId="1" xfId="4" applyFont="1" applyBorder="1" applyAlignment="1">
      <alignment horizontal="justify" vertical="top" wrapText="1"/>
    </xf>
  </cellXfs>
  <cellStyles count="5">
    <cellStyle name="Normal" xfId="0" builtinId="0"/>
    <cellStyle name="Normal 2" xfId="4"/>
    <cellStyle name="Normal 9" xfId="2"/>
    <cellStyle name="Normal 9 2" xfId="3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2</xdr:row>
      <xdr:rowOff>3922</xdr:rowOff>
    </xdr:to>
    <xdr:pic>
      <xdr:nvPicPr>
        <xdr:cNvPr id="3" name="Picture 2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2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289672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4992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495300</xdr:colOff>
      <xdr:row>1</xdr:row>
      <xdr:rowOff>47625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95300" cy="295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D16" sqref="D16"/>
    </sheetView>
  </sheetViews>
  <sheetFormatPr defaultColWidth="9.140625" defaultRowHeight="12.75" x14ac:dyDescent="0.2"/>
  <cols>
    <col min="1" max="1" width="20.7109375" style="64" customWidth="1"/>
    <col min="2" max="2" width="18.85546875" style="64" customWidth="1"/>
    <col min="3" max="3" width="23.42578125" style="64" customWidth="1"/>
    <col min="4" max="4" width="22" style="64" customWidth="1"/>
    <col min="5" max="5" width="22.28515625" style="64" customWidth="1"/>
    <col min="6" max="6" width="26.140625" style="64" customWidth="1"/>
    <col min="7" max="16384" width="9.140625" style="64"/>
  </cols>
  <sheetData>
    <row r="1" spans="1:6" ht="15.75" x14ac:dyDescent="0.25">
      <c r="A1" s="63" t="s">
        <v>57</v>
      </c>
    </row>
    <row r="2" spans="1:6" ht="15" x14ac:dyDescent="0.2">
      <c r="A2" s="65" t="s">
        <v>58</v>
      </c>
      <c r="B2" s="65" t="s">
        <v>59</v>
      </c>
      <c r="C2" s="65" t="s">
        <v>60</v>
      </c>
      <c r="D2" s="66" t="s">
        <v>61</v>
      </c>
      <c r="E2" s="66" t="s">
        <v>62</v>
      </c>
      <c r="F2" s="66" t="s">
        <v>63</v>
      </c>
    </row>
    <row r="3" spans="1:6" ht="15" x14ac:dyDescent="0.2">
      <c r="A3" s="67"/>
      <c r="B3" s="67"/>
      <c r="C3" s="67"/>
      <c r="D3" s="68" t="s">
        <v>64</v>
      </c>
      <c r="E3" s="69"/>
      <c r="F3" s="70"/>
    </row>
    <row r="4" spans="1:6" x14ac:dyDescent="0.2">
      <c r="A4" s="71"/>
      <c r="B4" s="72"/>
      <c r="C4" s="73"/>
      <c r="D4" s="73"/>
      <c r="E4" s="73"/>
      <c r="F4" s="73"/>
    </row>
    <row r="5" spans="1:6" x14ac:dyDescent="0.2">
      <c r="A5" s="71"/>
      <c r="B5" s="72"/>
      <c r="C5" s="73"/>
      <c r="D5" s="73"/>
      <c r="E5" s="73"/>
      <c r="F5" s="73"/>
    </row>
    <row r="6" spans="1:6" x14ac:dyDescent="0.2">
      <c r="A6" s="71"/>
      <c r="B6" s="72"/>
      <c r="C6" s="73"/>
      <c r="D6" s="73"/>
      <c r="E6" s="73"/>
      <c r="F6" s="73"/>
    </row>
    <row r="7" spans="1:6" x14ac:dyDescent="0.2">
      <c r="A7" s="71"/>
      <c r="B7" s="72"/>
      <c r="C7" s="73"/>
      <c r="D7" s="73"/>
      <c r="E7" s="73"/>
      <c r="F7" s="73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zoomScaleNormal="100" workbookViewId="0">
      <selection sqref="A1:D2"/>
    </sheetView>
  </sheetViews>
  <sheetFormatPr defaultRowHeight="15" x14ac:dyDescent="0.25"/>
  <cols>
    <col min="1" max="1" width="22.28515625" style="1" customWidth="1"/>
    <col min="2" max="2" width="16.5703125" style="1" customWidth="1"/>
    <col min="3" max="3" width="15.42578125" style="1" customWidth="1"/>
    <col min="4" max="4" width="21.28515625" style="1" customWidth="1"/>
    <col min="5" max="16384" width="9.140625" style="1"/>
  </cols>
  <sheetData>
    <row r="1" spans="1:4" ht="15" customHeight="1" x14ac:dyDescent="0.25">
      <c r="A1" s="48" t="s">
        <v>37</v>
      </c>
      <c r="B1" s="48"/>
      <c r="C1" s="48"/>
      <c r="D1" s="48"/>
    </row>
    <row r="2" spans="1:4" ht="12" customHeight="1" x14ac:dyDescent="0.25">
      <c r="A2" s="48"/>
      <c r="B2" s="48"/>
      <c r="C2" s="48"/>
      <c r="D2" s="48"/>
    </row>
    <row r="3" spans="1:4" ht="77.25" customHeight="1" x14ac:dyDescent="0.25">
      <c r="A3" s="6" t="s">
        <v>39</v>
      </c>
      <c r="B3" s="6" t="s">
        <v>38</v>
      </c>
      <c r="C3" s="6" t="s">
        <v>42</v>
      </c>
      <c r="D3" s="6" t="s">
        <v>37</v>
      </c>
    </row>
    <row r="4" spans="1:4" x14ac:dyDescent="0.25">
      <c r="A4" s="2"/>
      <c r="B4" s="3"/>
      <c r="C4" s="3"/>
      <c r="D4" s="7" t="str">
        <f>IF(B4="","", C4/B4)</f>
        <v/>
      </c>
    </row>
    <row r="5" spans="1:4" x14ac:dyDescent="0.25">
      <c r="A5" s="2"/>
      <c r="B5" s="3"/>
      <c r="C5" s="3"/>
      <c r="D5" s="7" t="str">
        <f t="shared" ref="D5:D17" si="0">IF(B5="","", C5/B5)</f>
        <v/>
      </c>
    </row>
    <row r="6" spans="1:4" x14ac:dyDescent="0.25">
      <c r="A6" s="2"/>
      <c r="B6" s="3"/>
      <c r="C6" s="3"/>
      <c r="D6" s="7" t="str">
        <f t="shared" si="0"/>
        <v/>
      </c>
    </row>
    <row r="7" spans="1:4" x14ac:dyDescent="0.25">
      <c r="A7" s="4"/>
      <c r="B7" s="3"/>
      <c r="C7" s="3"/>
      <c r="D7" s="7" t="str">
        <f t="shared" si="0"/>
        <v/>
      </c>
    </row>
    <row r="8" spans="1:4" x14ac:dyDescent="0.25">
      <c r="A8" s="4"/>
      <c r="B8" s="3"/>
      <c r="C8" s="3"/>
      <c r="D8" s="7" t="str">
        <f t="shared" si="0"/>
        <v/>
      </c>
    </row>
    <row r="9" spans="1:4" x14ac:dyDescent="0.25">
      <c r="A9" s="4"/>
      <c r="B9" s="3"/>
      <c r="C9" s="3"/>
      <c r="D9" s="7" t="str">
        <f t="shared" si="0"/>
        <v/>
      </c>
    </row>
    <row r="10" spans="1:4" x14ac:dyDescent="0.25">
      <c r="A10" s="4"/>
      <c r="B10" s="3"/>
      <c r="C10" s="3"/>
      <c r="D10" s="7" t="str">
        <f t="shared" si="0"/>
        <v/>
      </c>
    </row>
    <row r="11" spans="1:4" x14ac:dyDescent="0.25">
      <c r="A11" s="4"/>
      <c r="B11" s="3"/>
      <c r="C11" s="3"/>
      <c r="D11" s="7" t="str">
        <f t="shared" si="0"/>
        <v/>
      </c>
    </row>
    <row r="12" spans="1:4" x14ac:dyDescent="0.25">
      <c r="A12" s="4"/>
      <c r="B12" s="3"/>
      <c r="C12" s="3"/>
      <c r="D12" s="7" t="str">
        <f t="shared" si="0"/>
        <v/>
      </c>
    </row>
    <row r="13" spans="1:4" x14ac:dyDescent="0.25">
      <c r="A13" s="4"/>
      <c r="B13" s="3"/>
      <c r="C13" s="3"/>
      <c r="D13" s="7" t="str">
        <f t="shared" si="0"/>
        <v/>
      </c>
    </row>
    <row r="14" spans="1:4" x14ac:dyDescent="0.25">
      <c r="A14" s="2"/>
      <c r="B14" s="3"/>
      <c r="C14" s="3"/>
      <c r="D14" s="7" t="str">
        <f t="shared" si="0"/>
        <v/>
      </c>
    </row>
    <row r="15" spans="1:4" x14ac:dyDescent="0.25">
      <c r="A15" s="4"/>
      <c r="B15" s="3"/>
      <c r="C15" s="3"/>
      <c r="D15" s="7" t="str">
        <f t="shared" si="0"/>
        <v/>
      </c>
    </row>
    <row r="16" spans="1:4" x14ac:dyDescent="0.25">
      <c r="A16" s="4"/>
      <c r="B16" s="3"/>
      <c r="C16" s="3"/>
      <c r="D16" s="7" t="str">
        <f t="shared" si="0"/>
        <v/>
      </c>
    </row>
    <row r="17" spans="1:4" x14ac:dyDescent="0.25">
      <c r="A17" s="2"/>
      <c r="B17" s="3"/>
      <c r="C17" s="3"/>
      <c r="D17" s="7" t="str">
        <f t="shared" si="0"/>
        <v/>
      </c>
    </row>
    <row r="18" spans="1:4" x14ac:dyDescent="0.25">
      <c r="A18" s="8" t="s">
        <v>21</v>
      </c>
      <c r="B18" s="9">
        <f>SUM(B4:B17)</f>
        <v>0</v>
      </c>
      <c r="C18" s="9">
        <f>SUM(C4:C17)</f>
        <v>0</v>
      </c>
      <c r="D18" s="10" t="e">
        <f>AVERAGE(D4:D17)</f>
        <v>#DIV/0!</v>
      </c>
    </row>
    <row r="19" spans="1:4" x14ac:dyDescent="0.25">
      <c r="A19" s="5"/>
      <c r="B19" s="5"/>
      <c r="C19" s="5"/>
    </row>
  </sheetData>
  <sheetProtection password="CA65" sheet="1" objects="1" scenarios="1"/>
  <mergeCells count="1">
    <mergeCell ref="A1:D2"/>
  </mergeCells>
  <pageMargins left="0.7" right="0.7" top="0.75" bottom="0.75" header="0.3" footer="0.3"/>
  <pageSetup paperSize="9" orientation="portrait" r:id="rId1"/>
  <headerFooter>
    <oddHeader>&amp;LTDT&amp;CTraining Database&amp;RVer 1.0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2"/>
  <sheetViews>
    <sheetView zoomScaleNormal="100" workbookViewId="0">
      <selection sqref="A1:L2"/>
    </sheetView>
  </sheetViews>
  <sheetFormatPr defaultRowHeight="15" x14ac:dyDescent="0.25"/>
  <cols>
    <col min="1" max="1" width="22.28515625" style="1" customWidth="1"/>
    <col min="2" max="7" width="9.140625" style="1"/>
    <col min="8" max="8" width="14.140625" style="1" customWidth="1"/>
    <col min="9" max="9" width="14.28515625" style="1" customWidth="1"/>
    <col min="10" max="10" width="13.85546875" style="1" customWidth="1"/>
    <col min="11" max="11" width="13.42578125" style="1" customWidth="1"/>
    <col min="12" max="12" width="14.85546875" style="1" customWidth="1"/>
    <col min="13" max="16384" width="9.140625" style="1"/>
  </cols>
  <sheetData>
    <row r="1" spans="1:12" x14ac:dyDescent="0.25">
      <c r="A1" s="48" t="s">
        <v>41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2" customHeigh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61.5" customHeight="1" x14ac:dyDescent="0.25">
      <c r="A3" s="52" t="s">
        <v>17</v>
      </c>
      <c r="B3" s="49" t="s">
        <v>31</v>
      </c>
      <c r="C3" s="49"/>
      <c r="D3" s="49"/>
      <c r="E3" s="49" t="s">
        <v>30</v>
      </c>
      <c r="F3" s="49"/>
      <c r="G3" s="49"/>
      <c r="H3" s="50" t="s">
        <v>18</v>
      </c>
      <c r="I3" s="50" t="s">
        <v>40</v>
      </c>
      <c r="J3" s="50" t="s">
        <v>45</v>
      </c>
      <c r="K3" s="50" t="s">
        <v>19</v>
      </c>
      <c r="L3" s="50" t="s">
        <v>20</v>
      </c>
    </row>
    <row r="4" spans="1:12" x14ac:dyDescent="0.25">
      <c r="A4" s="53"/>
      <c r="B4" s="6" t="s">
        <v>21</v>
      </c>
      <c r="C4" s="6" t="s">
        <v>22</v>
      </c>
      <c r="D4" s="6" t="s">
        <v>23</v>
      </c>
      <c r="E4" s="6" t="s">
        <v>21</v>
      </c>
      <c r="F4" s="6" t="s">
        <v>22</v>
      </c>
      <c r="G4" s="6" t="s">
        <v>23</v>
      </c>
      <c r="H4" s="51"/>
      <c r="I4" s="51"/>
      <c r="J4" s="51"/>
      <c r="K4" s="51"/>
      <c r="L4" s="51"/>
    </row>
    <row r="5" spans="1:12" x14ac:dyDescent="0.25">
      <c r="A5" s="11" t="s">
        <v>24</v>
      </c>
      <c r="B5" s="12">
        <f>IF(C5="","",SUM(C5:D5))</f>
        <v>1</v>
      </c>
      <c r="C5" s="3">
        <v>1</v>
      </c>
      <c r="D5" s="3"/>
      <c r="E5" s="12">
        <f>IF(F5="","",SUM(F5:G5))</f>
        <v>0</v>
      </c>
      <c r="F5" s="3">
        <v>0</v>
      </c>
      <c r="G5" s="3"/>
      <c r="H5" s="3"/>
      <c r="I5" s="16">
        <f t="shared" ref="I5:I10" si="0">IF(E5="","",(E5/B5))</f>
        <v>0</v>
      </c>
      <c r="J5" s="13">
        <v>1</v>
      </c>
      <c r="K5" s="13">
        <v>2</v>
      </c>
      <c r="L5" s="17">
        <f t="shared" ref="L5:L10" si="1">IF(K5="","",(K5/J5))</f>
        <v>2</v>
      </c>
    </row>
    <row r="6" spans="1:12" x14ac:dyDescent="0.25">
      <c r="A6" s="11" t="s">
        <v>25</v>
      </c>
      <c r="B6" s="12" t="str">
        <f>IF(C6="","",SUM(C6:D6))</f>
        <v/>
      </c>
      <c r="C6" s="3"/>
      <c r="D6" s="3"/>
      <c r="E6" s="12" t="str">
        <f>IF(F6="","",SUM(F6:G6))</f>
        <v/>
      </c>
      <c r="F6" s="3"/>
      <c r="G6" s="3"/>
      <c r="H6" s="3"/>
      <c r="I6" s="16" t="str">
        <f t="shared" si="0"/>
        <v/>
      </c>
      <c r="J6" s="13"/>
      <c r="K6" s="13"/>
      <c r="L6" s="17" t="str">
        <f t="shared" si="1"/>
        <v/>
      </c>
    </row>
    <row r="7" spans="1:12" x14ac:dyDescent="0.25">
      <c r="A7" s="11" t="s">
        <v>26</v>
      </c>
      <c r="B7" s="12" t="str">
        <f t="shared" ref="B7:B10" si="2">IF(C7="","",SUM(C7:D7))</f>
        <v/>
      </c>
      <c r="C7" s="3"/>
      <c r="D7" s="3"/>
      <c r="E7" s="12" t="str">
        <f t="shared" ref="E7:E10" si="3">IF(F7="","",SUM(F7:G7))</f>
        <v/>
      </c>
      <c r="F7" s="3"/>
      <c r="G7" s="3"/>
      <c r="H7" s="3"/>
      <c r="I7" s="16" t="str">
        <f t="shared" si="0"/>
        <v/>
      </c>
      <c r="J7" s="13"/>
      <c r="K7" s="13"/>
      <c r="L7" s="17" t="str">
        <f t="shared" si="1"/>
        <v/>
      </c>
    </row>
    <row r="8" spans="1:12" x14ac:dyDescent="0.25">
      <c r="A8" s="11" t="s">
        <v>27</v>
      </c>
      <c r="B8" s="12" t="str">
        <f t="shared" si="2"/>
        <v/>
      </c>
      <c r="C8" s="3"/>
      <c r="D8" s="3"/>
      <c r="E8" s="12" t="str">
        <f t="shared" si="3"/>
        <v/>
      </c>
      <c r="F8" s="3"/>
      <c r="G8" s="3"/>
      <c r="H8" s="3"/>
      <c r="I8" s="16" t="str">
        <f t="shared" si="0"/>
        <v/>
      </c>
      <c r="J8" s="13"/>
      <c r="K8" s="13"/>
      <c r="L8" s="17" t="str">
        <f t="shared" si="1"/>
        <v/>
      </c>
    </row>
    <row r="9" spans="1:12" x14ac:dyDescent="0.25">
      <c r="A9" s="11" t="s">
        <v>28</v>
      </c>
      <c r="B9" s="12" t="str">
        <f t="shared" si="2"/>
        <v/>
      </c>
      <c r="C9" s="3"/>
      <c r="D9" s="3"/>
      <c r="E9" s="12" t="str">
        <f t="shared" si="3"/>
        <v/>
      </c>
      <c r="F9" s="3"/>
      <c r="G9" s="3"/>
      <c r="H9" s="3"/>
      <c r="I9" s="16" t="str">
        <f t="shared" si="0"/>
        <v/>
      </c>
      <c r="J9" s="13"/>
      <c r="K9" s="13"/>
      <c r="L9" s="17" t="str">
        <f t="shared" si="1"/>
        <v/>
      </c>
    </row>
    <row r="10" spans="1:12" x14ac:dyDescent="0.25">
      <c r="A10" s="11" t="s">
        <v>29</v>
      </c>
      <c r="B10" s="12" t="str">
        <f t="shared" si="2"/>
        <v/>
      </c>
      <c r="C10" s="3"/>
      <c r="D10" s="3"/>
      <c r="E10" s="12" t="str">
        <f t="shared" si="3"/>
        <v/>
      </c>
      <c r="F10" s="3"/>
      <c r="G10" s="3"/>
      <c r="H10" s="3"/>
      <c r="I10" s="16" t="str">
        <f t="shared" si="0"/>
        <v/>
      </c>
      <c r="J10" s="13"/>
      <c r="K10" s="13"/>
      <c r="L10" s="17" t="str">
        <f t="shared" si="1"/>
        <v/>
      </c>
    </row>
    <row r="11" spans="1:12" ht="15.75" thickBot="1" x14ac:dyDescent="0.3">
      <c r="A11" s="18" t="s">
        <v>21</v>
      </c>
      <c r="B11" s="19">
        <f t="shared" ref="B11:H11" si="4">SUM(B5:B10)</f>
        <v>1</v>
      </c>
      <c r="C11" s="19">
        <f t="shared" si="4"/>
        <v>1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20">
        <f>(E11/B11)</f>
        <v>0</v>
      </c>
      <c r="J11" s="21">
        <f>SUM(J5:J10)</f>
        <v>1</v>
      </c>
      <c r="K11" s="21">
        <f>SUM(K5:K10)</f>
        <v>2</v>
      </c>
      <c r="L11" s="22">
        <f>(K11/J11)</f>
        <v>2</v>
      </c>
    </row>
    <row r="12" spans="1:12" x14ac:dyDescent="0.25">
      <c r="A12" s="5"/>
      <c r="B12" s="5"/>
      <c r="C12" s="5"/>
      <c r="D12" s="5"/>
      <c r="E12" s="5"/>
      <c r="F12" s="5"/>
      <c r="G12" s="14"/>
      <c r="H12" s="15"/>
      <c r="I12" s="15"/>
      <c r="J12" s="14"/>
      <c r="K12" s="5"/>
      <c r="L12" s="5"/>
    </row>
  </sheetData>
  <sheetProtection password="CA65" sheet="1" objects="1" scenarios="1"/>
  <mergeCells count="9">
    <mergeCell ref="A1:L2"/>
    <mergeCell ref="B3:D3"/>
    <mergeCell ref="E3:G3"/>
    <mergeCell ref="I3:I4"/>
    <mergeCell ref="J3:J4"/>
    <mergeCell ref="K3:K4"/>
    <mergeCell ref="L3:L4"/>
    <mergeCell ref="H3:H4"/>
    <mergeCell ref="A3:A4"/>
  </mergeCells>
  <pageMargins left="0.7" right="0.7" top="0.75" bottom="0.75" header="0.3" footer="0.3"/>
  <pageSetup paperSize="9" orientation="portrait" r:id="rId1"/>
  <headerFooter>
    <oddHeader>&amp;LTDT&amp;CTraining Database&amp;RVer 1.0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zoomScaleNormal="100" workbookViewId="0">
      <selection sqref="A1:O1"/>
    </sheetView>
  </sheetViews>
  <sheetFormatPr defaultRowHeight="15" x14ac:dyDescent="0.25"/>
  <cols>
    <col min="1" max="1" width="9.140625" style="23"/>
    <col min="2" max="2" width="9.5703125" style="23" customWidth="1"/>
    <col min="3" max="3" width="12.7109375" style="23" customWidth="1"/>
    <col min="4" max="4" width="11.85546875" style="23" customWidth="1"/>
    <col min="5" max="5" width="14.42578125" style="23" customWidth="1"/>
    <col min="6" max="6" width="14.5703125" style="23" customWidth="1"/>
    <col min="7" max="7" width="12.28515625" style="23" customWidth="1"/>
    <col min="8" max="8" width="9.5703125" style="23" customWidth="1"/>
    <col min="9" max="9" width="13.28515625" style="23" customWidth="1"/>
    <col min="10" max="10" width="9.140625" style="23"/>
    <col min="11" max="11" width="11.140625" style="23" customWidth="1"/>
    <col min="12" max="12" width="9.140625" style="23"/>
    <col min="13" max="13" width="14.5703125" style="23" customWidth="1"/>
    <col min="14" max="14" width="10.140625" style="23" customWidth="1"/>
    <col min="15" max="15" width="17.5703125" style="23" customWidth="1"/>
    <col min="16" max="16384" width="9.140625" style="23"/>
  </cols>
  <sheetData>
    <row r="1" spans="1:15" ht="27.75" customHeight="1" thickBot="1" x14ac:dyDescent="0.3">
      <c r="A1" s="54" t="s">
        <v>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</row>
    <row r="2" spans="1:15" ht="45" x14ac:dyDescent="0.25">
      <c r="A2" s="24" t="s">
        <v>36</v>
      </c>
      <c r="B2" s="24" t="s">
        <v>35</v>
      </c>
      <c r="C2" s="25" t="s">
        <v>2</v>
      </c>
      <c r="D2" s="26" t="s">
        <v>8</v>
      </c>
      <c r="E2" s="26" t="s">
        <v>3</v>
      </c>
      <c r="F2" s="24" t="s">
        <v>46</v>
      </c>
      <c r="G2" s="27" t="s">
        <v>10</v>
      </c>
      <c r="H2" s="27" t="s">
        <v>11</v>
      </c>
      <c r="I2" s="27" t="s">
        <v>12</v>
      </c>
      <c r="J2" s="24" t="s">
        <v>4</v>
      </c>
      <c r="K2" s="24" t="s">
        <v>43</v>
      </c>
      <c r="L2" s="24" t="s">
        <v>5</v>
      </c>
      <c r="M2" s="24" t="s">
        <v>6</v>
      </c>
      <c r="N2" s="24" t="s">
        <v>13</v>
      </c>
      <c r="O2" s="24" t="s">
        <v>7</v>
      </c>
    </row>
  </sheetData>
  <sheetProtection password="CA65" sheet="1" objects="1" scenarios="1"/>
  <mergeCells count="1">
    <mergeCell ref="A1:O1"/>
  </mergeCells>
  <pageMargins left="0.7" right="0.7" top="0.75" bottom="0.75" header="0.3" footer="0.3"/>
  <pageSetup paperSize="9" orientation="portrait" r:id="rId1"/>
  <headerFooter>
    <oddHeader>&amp;LTDT&amp;CTraining Database&amp;RVer 1.0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zoomScaleNormal="100" workbookViewId="0">
      <selection activeCell="E23" sqref="E23"/>
    </sheetView>
  </sheetViews>
  <sheetFormatPr defaultRowHeight="15" x14ac:dyDescent="0.25"/>
  <cols>
    <col min="1" max="1" width="9.140625" style="23"/>
    <col min="2" max="2" width="19.7109375" style="23" customWidth="1"/>
    <col min="3" max="3" width="22.28515625" style="23" customWidth="1"/>
    <col min="4" max="4" width="21.85546875" style="23" customWidth="1"/>
    <col min="5" max="5" width="19.140625" style="23" customWidth="1"/>
    <col min="6" max="16384" width="9.140625" style="23"/>
  </cols>
  <sheetData>
    <row r="1" spans="1:5" ht="28.5" customHeight="1" thickBot="1" x14ac:dyDescent="0.3">
      <c r="A1" s="57" t="s">
        <v>15</v>
      </c>
      <c r="B1" s="58"/>
      <c r="C1" s="58"/>
      <c r="D1" s="58"/>
      <c r="E1" s="59"/>
    </row>
    <row r="2" spans="1:5" s="28" customFormat="1" ht="20.25" customHeight="1" x14ac:dyDescent="0.25">
      <c r="A2" s="29" t="s">
        <v>14</v>
      </c>
      <c r="B2" s="29" t="s">
        <v>15</v>
      </c>
      <c r="C2" s="29" t="s">
        <v>9</v>
      </c>
      <c r="D2" s="29" t="s">
        <v>0</v>
      </c>
      <c r="E2" s="29" t="s">
        <v>16</v>
      </c>
    </row>
  </sheetData>
  <sheetProtection password="CA65" sheet="1" objects="1" scenarios="1"/>
  <mergeCells count="1">
    <mergeCell ref="A1:E1"/>
  </mergeCells>
  <pageMargins left="0.7" right="0.7" top="0.75" bottom="0.75" header="0.3" footer="0.3"/>
  <pageSetup paperSize="9" orientation="portrait" r:id="rId1"/>
  <headerFooter>
    <oddHeader>&amp;LTDT&amp;CTraining Database&amp;RVer 1.0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zoomScaleNormal="100" workbookViewId="0">
      <selection sqref="A1:G1"/>
    </sheetView>
  </sheetViews>
  <sheetFormatPr defaultRowHeight="15" x14ac:dyDescent="0.25"/>
  <cols>
    <col min="1" max="1" width="9.140625" style="23"/>
    <col min="2" max="2" width="13.85546875" style="23" customWidth="1"/>
    <col min="3" max="3" width="11.7109375" style="23" customWidth="1"/>
    <col min="4" max="4" width="15.140625" style="23" customWidth="1"/>
    <col min="5" max="5" width="16.5703125" style="23" customWidth="1"/>
    <col min="6" max="6" width="18.5703125" style="23" customWidth="1"/>
    <col min="7" max="7" width="23.140625" style="23" customWidth="1"/>
    <col min="8" max="16384" width="9.140625" style="23"/>
  </cols>
  <sheetData>
    <row r="1" spans="1:7" ht="27" customHeight="1" thickBot="1" x14ac:dyDescent="0.3">
      <c r="A1" s="54" t="s">
        <v>32</v>
      </c>
      <c r="B1" s="55"/>
      <c r="C1" s="55"/>
      <c r="D1" s="55"/>
      <c r="E1" s="55"/>
      <c r="F1" s="55"/>
      <c r="G1" s="56"/>
    </row>
    <row r="2" spans="1:7" s="30" customFormat="1" ht="51" customHeight="1" x14ac:dyDescent="0.25">
      <c r="A2" s="24" t="s">
        <v>36</v>
      </c>
      <c r="B2" s="24" t="s">
        <v>35</v>
      </c>
      <c r="C2" s="24" t="s">
        <v>2</v>
      </c>
      <c r="D2" s="24" t="s">
        <v>8</v>
      </c>
      <c r="E2" s="24" t="s">
        <v>34</v>
      </c>
      <c r="F2" s="24" t="s">
        <v>33</v>
      </c>
      <c r="G2" s="24" t="s">
        <v>44</v>
      </c>
    </row>
  </sheetData>
  <sheetProtection password="CA65" sheet="1" objects="1" scenarios="1"/>
  <mergeCells count="1">
    <mergeCell ref="A1:G1"/>
  </mergeCells>
  <pageMargins left="0.7" right="0.7" top="0.75" bottom="0.75" header="0.3" footer="0.3"/>
  <pageSetup paperSize="9" orientation="portrait" r:id="rId1"/>
  <headerFooter>
    <oddHeader>&amp;LTDT&amp;CTraining Database&amp;RVer 1.0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sqref="A1:G1"/>
    </sheetView>
  </sheetViews>
  <sheetFormatPr defaultRowHeight="15" x14ac:dyDescent="0.25"/>
  <cols>
    <col min="1" max="1" width="12.28515625" style="31" customWidth="1"/>
    <col min="2" max="2" width="23.7109375" style="31" customWidth="1"/>
    <col min="3" max="3" width="30.7109375" style="31" customWidth="1"/>
    <col min="4" max="4" width="30.5703125" style="31" customWidth="1"/>
    <col min="5" max="5" width="11" style="31" customWidth="1"/>
    <col min="6" max="6" width="13.28515625" style="31" customWidth="1"/>
    <col min="7" max="7" width="23.28515625" style="31" customWidth="1"/>
    <col min="8" max="16384" width="9.140625" style="31"/>
  </cols>
  <sheetData>
    <row r="1" spans="1:9" ht="16.5" thickBot="1" x14ac:dyDescent="0.3">
      <c r="A1" s="60" t="s">
        <v>47</v>
      </c>
      <c r="B1" s="61"/>
      <c r="C1" s="61"/>
      <c r="D1" s="61"/>
      <c r="E1" s="61"/>
      <c r="F1" s="61"/>
      <c r="G1" s="62"/>
      <c r="I1" s="32"/>
    </row>
    <row r="2" spans="1:9" s="35" customFormat="1" ht="45" x14ac:dyDescent="0.25">
      <c r="A2" s="33" t="s">
        <v>48</v>
      </c>
      <c r="B2" s="34" t="s">
        <v>49</v>
      </c>
      <c r="C2" s="34" t="s">
        <v>50</v>
      </c>
      <c r="D2" s="34" t="s">
        <v>51</v>
      </c>
      <c r="E2" s="34" t="s">
        <v>52</v>
      </c>
      <c r="F2" s="34" t="s">
        <v>53</v>
      </c>
      <c r="G2" s="34" t="s">
        <v>7</v>
      </c>
    </row>
    <row r="3" spans="1:9" s="42" customFormat="1" x14ac:dyDescent="0.25">
      <c r="A3" s="36"/>
      <c r="B3" s="37"/>
      <c r="C3" s="38"/>
      <c r="D3" s="37"/>
      <c r="E3" s="39"/>
      <c r="F3" s="40"/>
      <c r="G3" s="41"/>
    </row>
  </sheetData>
  <mergeCells count="1">
    <mergeCell ref="A1:G1"/>
  </mergeCells>
  <dataValidations count="1">
    <dataValidation type="list" allowBlank="1" showInputMessage="1" showErrorMessage="1" sqref="F3">
      <formula1>"Open, Closed, Onhold, Deferred"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sqref="A1:C1"/>
    </sheetView>
  </sheetViews>
  <sheetFormatPr defaultRowHeight="15" x14ac:dyDescent="0.25"/>
  <cols>
    <col min="2" max="2" width="50.140625" customWidth="1"/>
    <col min="3" max="3" width="35.5703125" customWidth="1"/>
  </cols>
  <sheetData>
    <row r="1" spans="1:5" ht="19.5" thickBot="1" x14ac:dyDescent="0.3">
      <c r="A1" s="57" t="s">
        <v>54</v>
      </c>
      <c r="B1" s="58"/>
      <c r="C1" s="58"/>
      <c r="E1" s="32"/>
    </row>
    <row r="2" spans="1:5" s="44" customFormat="1" x14ac:dyDescent="0.25">
      <c r="A2" s="43" t="s">
        <v>36</v>
      </c>
      <c r="B2" s="43" t="s">
        <v>55</v>
      </c>
      <c r="C2" s="43" t="s">
        <v>56</v>
      </c>
    </row>
    <row r="3" spans="1:5" ht="42" customHeight="1" x14ac:dyDescent="0.25">
      <c r="A3" s="45"/>
      <c r="B3" s="46"/>
      <c r="C3" s="47"/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 Revision History</vt:lpstr>
      <vt:lpstr>Training Coverage</vt:lpstr>
      <vt:lpstr>Training Metrics</vt:lpstr>
      <vt:lpstr>Training Database</vt:lpstr>
      <vt:lpstr>Training Faculty</vt:lpstr>
      <vt:lpstr>Certifications</vt:lpstr>
      <vt:lpstr>Corrective &amp; Preventive Action</vt:lpstr>
      <vt:lpstr>Lessons Learnt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2019-05-21T05:43:23Z</dcterms:modified>
</cp:coreProperties>
</file>