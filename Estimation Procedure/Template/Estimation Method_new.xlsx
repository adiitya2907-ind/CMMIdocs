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01"/>
  <workbookPr filterPrivacy="1" defaultThemeVersion="124226"/>
  <xr:revisionPtr revIDLastSave="0" documentId="11_1CC1A244CEAE835D4D32C91EA57774CA302C3950" xr6:coauthVersionLast="47" xr6:coauthVersionMax="47" xr10:uidLastSave="{00000000-0000-0000-0000-000000000000}"/>
  <bookViews>
    <workbookView xWindow="0" yWindow="0" windowWidth="20490" windowHeight="7650" tabRatio="828" firstSheet="7" activeTab="7" xr2:uid="{00000000-000D-0000-FFFF-FFFF00000000}"/>
  </bookViews>
  <sheets>
    <sheet name="Read Me" sheetId="8" r:id="rId1"/>
    <sheet name="Estimation Summary" sheetId="4" r:id="rId2"/>
    <sheet name="Calculation" sheetId="6" state="hidden" r:id="rId3"/>
    <sheet name="Estimation Criteria" sheetId="11" r:id="rId4"/>
    <sheet name="Estimation Sheet" sheetId="10" r:id="rId5"/>
    <sheet name="Miscellaneous Effort" sheetId="13" r:id="rId6"/>
    <sheet name="Cost Estimation" sheetId="12" r:id="rId7"/>
    <sheet name="Revision History" sheetId="2" r:id="rId8"/>
  </sheets>
  <externalReferences>
    <externalReference r:id="rId9"/>
  </externalReferences>
  <definedNames>
    <definedName name="CostHead">'[1]Setup Parameters'!$E$18:$E$23</definedName>
    <definedName name="Location">'[1]Setup Parameters'!$A$2:$A$5</definedName>
    <definedName name="ResourceType">'[1]Setup Parameters'!$C$9:$C$14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3" l="1"/>
  <c r="D23" i="4" s="1"/>
  <c r="G12" i="12" l="1"/>
  <c r="E11" i="12"/>
  <c r="E10" i="12"/>
  <c r="E9" i="12"/>
  <c r="E8" i="12"/>
  <c r="E7" i="12"/>
  <c r="E6" i="12"/>
  <c r="E5" i="12"/>
  <c r="E4" i="12"/>
  <c r="E12" i="12" l="1"/>
  <c r="F13" i="12" s="1"/>
  <c r="C12" i="4"/>
  <c r="C13" i="4"/>
  <c r="C14" i="4"/>
  <c r="C15" i="4"/>
  <c r="C16" i="4"/>
  <c r="C17" i="4"/>
  <c r="C18" i="4"/>
  <c r="A12" i="4"/>
  <c r="A13" i="4"/>
  <c r="A14" i="4"/>
  <c r="A15" i="4"/>
  <c r="A16" i="4"/>
  <c r="A17" i="4"/>
  <c r="A18" i="4"/>
  <c r="A11" i="4"/>
  <c r="C11" i="4" l="1"/>
  <c r="C19" i="4" l="1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5" i="10"/>
  <c r="D5" i="11"/>
  <c r="E5" i="11"/>
  <c r="F5" i="11" l="1"/>
  <c r="D4" i="11"/>
  <c r="D3" i="11"/>
  <c r="E4" i="11" l="1"/>
  <c r="E3" i="11"/>
  <c r="F3" i="11" s="1"/>
  <c r="F4" i="11" l="1"/>
  <c r="F6" i="11" s="1"/>
  <c r="D20" i="4" s="1"/>
  <c r="B18" i="11"/>
  <c r="E21" i="10" l="1"/>
  <c r="D13" i="4" l="1"/>
  <c r="D16" i="6"/>
  <c r="D12" i="4" l="1"/>
  <c r="D18" i="4"/>
  <c r="D17" i="4"/>
  <c r="D14" i="4"/>
  <c r="D16" i="4"/>
  <c r="D15" i="4"/>
  <c r="D11" i="4"/>
  <c r="D4" i="6"/>
  <c r="E4" i="6" s="1"/>
  <c r="D5" i="6"/>
  <c r="E5" i="6" s="1"/>
  <c r="D6" i="6"/>
  <c r="E6" i="6" s="1"/>
  <c r="D7" i="6"/>
  <c r="E7" i="6" s="1"/>
  <c r="D8" i="6"/>
  <c r="E8" i="6" s="1"/>
  <c r="D9" i="6"/>
  <c r="E9" i="6" s="1"/>
  <c r="D10" i="6"/>
  <c r="E10" i="6" s="1"/>
  <c r="D11" i="6"/>
  <c r="E11" i="6" s="1"/>
  <c r="D3" i="6"/>
  <c r="E3" i="6" s="1"/>
  <c r="E12" i="6" l="1"/>
  <c r="D19" i="4"/>
  <c r="D21" i="4" l="1"/>
  <c r="D27" i="4"/>
  <c r="D31" i="4" s="1"/>
</calcChain>
</file>

<file path=xl/sharedStrings.xml><?xml version="1.0" encoding="utf-8"?>
<sst xmlns="http://schemas.openxmlformats.org/spreadsheetml/2006/main" count="166" uniqueCount="136">
  <si>
    <t>Read Me</t>
  </si>
  <si>
    <t>All white cells are editable in the estimation template</t>
  </si>
  <si>
    <t>Estimation Summary</t>
  </si>
  <si>
    <t>In this sheet, mention the basic project information.</t>
  </si>
  <si>
    <t>This sheet gives the amount of effort estimated for each phase, based on the effort distribution.</t>
  </si>
  <si>
    <t>‘Engineering effort’ is the total amount of effort estimated for the project</t>
  </si>
  <si>
    <t>Total Size (complexity Point) is the calculated value of the complex points or the size of the work that has to be performed.</t>
  </si>
  <si>
    <t>‘Project Management Effort’ is the percentage of Engineering Effort that will be required for project management.</t>
  </si>
  <si>
    <t xml:space="preserve">‘Total Effort (Hours)’ is the sum of ‘Engineering Effort’ and ‘Project Management Effort’ </t>
  </si>
  <si>
    <t>‘Contingency %’ is the percentage of total effort that counts for an incidental expense</t>
  </si>
  <si>
    <t>‘Grand Total Effort (Hours)’ is the sum of ‘Total Effort (Hours)’ and ‘‘Contingency %’’</t>
  </si>
  <si>
    <t>‘Assumptions’ and Risks: List all the assumptions and risks related to estimation</t>
  </si>
  <si>
    <t>Estimation Criteria</t>
  </si>
  <si>
    <t>Mention the criteria for various complexities i.e. Low, Medium, High and effort spent in coding phase for each of the complexity.</t>
  </si>
  <si>
    <t>Mention the effort distribution percentage for each phase.</t>
  </si>
  <si>
    <t>Estimation Sheet</t>
  </si>
  <si>
    <t>List down all the functions or requirements to be developed</t>
  </si>
  <si>
    <t>Identify the complexity in for each functions or requirements to be developed.</t>
  </si>
  <si>
    <t xml:space="preserve">For each requirement, coding effort will get populated and we will get the sum of coding effort </t>
  </si>
  <si>
    <t>Revision History</t>
  </si>
  <si>
    <t>Details of the revision done to the estimation to be logged in this sheet</t>
  </si>
  <si>
    <t>Project Information</t>
  </si>
  <si>
    <t>Project Code</t>
  </si>
  <si>
    <t xml:space="preserve">Project Name </t>
  </si>
  <si>
    <t>Estimated By</t>
  </si>
  <si>
    <t>Estimation Date</t>
  </si>
  <si>
    <t>Reviewed By</t>
  </si>
  <si>
    <t>Review Date</t>
  </si>
  <si>
    <t>Approved By</t>
  </si>
  <si>
    <t>Approval Date</t>
  </si>
  <si>
    <t>Effort Distribution</t>
  </si>
  <si>
    <t>Phases</t>
  </si>
  <si>
    <t>% Effort</t>
  </si>
  <si>
    <t>Efforts</t>
  </si>
  <si>
    <t>Total Engineering Effort (Hours)</t>
  </si>
  <si>
    <t>Total Size (complexity Point)</t>
  </si>
  <si>
    <t>Productivity Factor (CP per Hour)</t>
  </si>
  <si>
    <t>Miscellaneus Effort</t>
  </si>
  <si>
    <t>Project Management  and Support Activities Effort</t>
  </si>
  <si>
    <t>Total Effort (Hours)</t>
  </si>
  <si>
    <t>Contingency %</t>
  </si>
  <si>
    <t>Grand Total Effort (Hours)</t>
  </si>
  <si>
    <t>Assumptions</t>
  </si>
  <si>
    <t>Risks</t>
  </si>
  <si>
    <t>S.No</t>
  </si>
  <si>
    <t>Factors</t>
  </si>
  <si>
    <t>Value</t>
  </si>
  <si>
    <t>Application Complexity</t>
  </si>
  <si>
    <t>Clarity of the design / architecture</t>
  </si>
  <si>
    <t>Application Experience</t>
  </si>
  <si>
    <t>Project Experience</t>
  </si>
  <si>
    <t>Tools involved</t>
  </si>
  <si>
    <t>Domain Knowledge</t>
  </si>
  <si>
    <t>Platform / Language Experience</t>
  </si>
  <si>
    <t>Documentation to be created</t>
  </si>
  <si>
    <t>Reusability</t>
  </si>
  <si>
    <t>Total Size</t>
  </si>
  <si>
    <t>Estimation Criteria Setup</t>
  </si>
  <si>
    <t>Criteria</t>
  </si>
  <si>
    <t>Effort in Coding Phase</t>
  </si>
  <si>
    <t>Normalisation</t>
  </si>
  <si>
    <t>Count of H/M/L</t>
  </si>
  <si>
    <t>Low</t>
  </si>
  <si>
    <t>ABC</t>
  </si>
  <si>
    <t>Medium</t>
  </si>
  <si>
    <t>XYZ</t>
  </si>
  <si>
    <t>High</t>
  </si>
  <si>
    <t>PQR</t>
  </si>
  <si>
    <t>Requirement Development Phase</t>
  </si>
  <si>
    <t>Design Phase</t>
  </si>
  <si>
    <t>Coding and Unit Testing Phase</t>
  </si>
  <si>
    <t>Testing Phase</t>
  </si>
  <si>
    <t>User Acceptance Testing</t>
  </si>
  <si>
    <t>Certification Testing Phase</t>
  </si>
  <si>
    <t>STQC Phase</t>
  </si>
  <si>
    <t>Go-Live</t>
  </si>
  <si>
    <t>Total</t>
  </si>
  <si>
    <t>Module Name</t>
  </si>
  <si>
    <t>Functions</t>
  </si>
  <si>
    <t>S. No</t>
  </si>
  <si>
    <t>Function No.</t>
  </si>
  <si>
    <t>Function Name</t>
  </si>
  <si>
    <t>Complexity</t>
  </si>
  <si>
    <t>Estimated Coding Effort</t>
  </si>
  <si>
    <t>A</t>
  </si>
  <si>
    <t>B</t>
  </si>
  <si>
    <t>C</t>
  </si>
  <si>
    <t>D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</si>
  <si>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</si>
  <si>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</si>
  <si>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</si>
  <si>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</si>
  <si>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</si>
  <si>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</si>
  <si>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</si>
  <si>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</si>
  <si>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</si>
  <si>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</si>
  <si>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</si>
  <si>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Sub Total</t>
  </si>
  <si>
    <t>Miscellaneous/Other Tasks</t>
  </si>
  <si>
    <t>Estimate the effort for miscellaneous/other tasks (like UAT support, User Training etc.)
(Both Engineering and Non-Engineering)</t>
  </si>
  <si>
    <t>Effort (Hours)</t>
  </si>
  <si>
    <t>User training</t>
  </si>
  <si>
    <t>Installation</t>
  </si>
  <si>
    <t>Total Miscellaneous/Other Effort (PH)</t>
  </si>
  <si>
    <t>Cost Estimation</t>
  </si>
  <si>
    <t>Direct Cost</t>
  </si>
  <si>
    <t>In-Direct Cost</t>
  </si>
  <si>
    <t>Location</t>
  </si>
  <si>
    <t>Cost/Hr</t>
  </si>
  <si>
    <t>Resource Type</t>
  </si>
  <si>
    <t>Total Effort             (in person hours)</t>
  </si>
  <si>
    <t>Resource Cost</t>
  </si>
  <si>
    <t>Parameter</t>
  </si>
  <si>
    <t>Cost</t>
  </si>
  <si>
    <t>Onsite</t>
  </si>
  <si>
    <t>PM</t>
  </si>
  <si>
    <t xml:space="preserve">Travel cost </t>
  </si>
  <si>
    <t>Off-on</t>
  </si>
  <si>
    <t>FC</t>
  </si>
  <si>
    <t>External consultant charges</t>
  </si>
  <si>
    <t>TC</t>
  </si>
  <si>
    <t>Insurance charges</t>
  </si>
  <si>
    <t>Offshore</t>
  </si>
  <si>
    <t>Dev</t>
  </si>
  <si>
    <t>Specific software cost</t>
  </si>
  <si>
    <t>Travel allowance</t>
  </si>
  <si>
    <t>Training cost</t>
  </si>
  <si>
    <t>Total Resource Cost</t>
  </si>
  <si>
    <t>Total Indirect Cost</t>
  </si>
  <si>
    <t>Total Cost Estimate</t>
  </si>
  <si>
    <t>Ver. No.</t>
  </si>
  <si>
    <t>Date</t>
  </si>
  <si>
    <t>Prepared by/Modified by</t>
  </si>
  <si>
    <t>Significant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</si>
</sst>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;[Red]0.0"/>
    <numFmt numFmtId="165" formatCode="0.00;[Red]0.00"/>
  </numFmts>
  <fonts count="14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3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0" borderId="0"/>
  </cellStyleXfs>
  <cellXfs count="135">
    <xf numFmtId="0" fontId="0" fillId="0" borderId="0" xfId="0"/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/>
    <xf numFmtId="0" fontId="2" fillId="2" borderId="6" xfId="0" applyFont="1" applyFill="1" applyBorder="1" applyAlignment="1">
      <alignment vertical="top" wrapText="1"/>
    </xf>
    <xf numFmtId="0" fontId="6" fillId="2" borderId="15" xfId="0" applyFont="1" applyFill="1" applyBorder="1" applyAlignment="1" applyProtection="1">
      <alignment horizontal="center" vertical="top" wrapText="1"/>
      <protection locked="0"/>
    </xf>
    <xf numFmtId="0" fontId="6" fillId="2" borderId="13" xfId="0" applyFont="1" applyFill="1" applyBorder="1" applyAlignment="1" applyProtection="1">
      <alignment horizontal="center" vertical="top" wrapText="1"/>
      <protection locked="0"/>
    </xf>
    <xf numFmtId="0" fontId="6" fillId="2" borderId="14" xfId="0" applyFont="1" applyFill="1" applyBorder="1" applyAlignment="1">
      <alignment horizontal="center" vertical="top" wrapText="1"/>
    </xf>
    <xf numFmtId="0" fontId="2" fillId="4" borderId="12" xfId="0" applyFont="1" applyFill="1" applyBorder="1" applyAlignment="1" applyProtection="1">
      <alignment vertical="top" wrapText="1"/>
      <protection locked="0"/>
    </xf>
    <xf numFmtId="0" fontId="1" fillId="2" borderId="2" xfId="0" applyFont="1" applyFill="1" applyBorder="1"/>
    <xf numFmtId="0" fontId="3" fillId="2" borderId="4" xfId="0" applyFont="1" applyFill="1" applyBorder="1" applyAlignment="1">
      <alignment horizontal="center" vertical="top" wrapText="1"/>
    </xf>
    <xf numFmtId="0" fontId="8" fillId="0" borderId="2" xfId="0" applyFont="1" applyBorder="1" applyAlignment="1" applyProtection="1">
      <alignment vertical="center"/>
      <protection locked="0"/>
    </xf>
    <xf numFmtId="0" fontId="9" fillId="0" borderId="2" xfId="0" applyFont="1" applyBorder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15" fontId="9" fillId="0" borderId="2" xfId="0" applyNumberFormat="1" applyFont="1" applyBorder="1" applyAlignment="1" applyProtection="1">
      <alignment horizontal="center" vertical="center"/>
      <protection locked="0"/>
    </xf>
    <xf numFmtId="1" fontId="8" fillId="5" borderId="2" xfId="1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left" vertical="center" indent="5"/>
    </xf>
    <xf numFmtId="0" fontId="7" fillId="0" borderId="4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justify"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8" fillId="3" borderId="0" xfId="0" applyFont="1" applyFill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9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9" fontId="9" fillId="0" borderId="2" xfId="1" applyFont="1" applyFill="1" applyBorder="1" applyAlignment="1" applyProtection="1">
      <alignment horizontal="center" vertical="center"/>
      <protection locked="0"/>
    </xf>
    <xf numFmtId="0" fontId="8" fillId="2" borderId="7" xfId="0" applyFont="1" applyFill="1" applyBorder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9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2" fontId="8" fillId="5" borderId="2" xfId="1" applyNumberFormat="1" applyFont="1" applyFill="1" applyBorder="1" applyAlignment="1" applyProtection="1">
      <alignment horizontal="center" vertical="center"/>
    </xf>
    <xf numFmtId="0" fontId="8" fillId="2" borderId="9" xfId="0" applyFont="1" applyFill="1" applyBorder="1" applyAlignment="1">
      <alignment vertical="center"/>
    </xf>
    <xf numFmtId="0" fontId="8" fillId="2" borderId="8" xfId="0" applyFont="1" applyFill="1" applyBorder="1" applyAlignment="1">
      <alignment vertical="center"/>
    </xf>
    <xf numFmtId="0" fontId="0" fillId="0" borderId="2" xfId="0" applyBorder="1" applyAlignment="1" applyProtection="1">
      <alignment horizontal="center" vertical="center"/>
      <protection locked="0"/>
    </xf>
    <xf numFmtId="0" fontId="7" fillId="2" borderId="16" xfId="0" applyFont="1" applyFill="1" applyBorder="1" applyAlignment="1">
      <alignment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vertical="center"/>
    </xf>
    <xf numFmtId="2" fontId="0" fillId="7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0" fillId="7" borderId="2" xfId="0" applyFill="1" applyBorder="1" applyAlignment="1">
      <alignment vertical="center" wrapText="1"/>
    </xf>
    <xf numFmtId="0" fontId="0" fillId="7" borderId="2" xfId="0" applyFill="1" applyBorder="1" applyAlignment="1">
      <alignment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2" xfId="0" applyBorder="1" applyProtection="1">
      <protection locked="0"/>
    </xf>
    <xf numFmtId="0" fontId="0" fillId="0" borderId="2" xfId="0" applyBorder="1" applyAlignment="1" applyProtection="1">
      <alignment horizontal="center"/>
      <protection locked="0"/>
    </xf>
    <xf numFmtId="0" fontId="8" fillId="2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5" fillId="0" borderId="20" xfId="0" applyFont="1" applyBorder="1" applyAlignment="1" applyProtection="1">
      <alignment horizontal="left" vertical="center" wrapText="1"/>
      <protection locked="0"/>
    </xf>
    <xf numFmtId="0" fontId="8" fillId="2" borderId="19" xfId="0" applyFont="1" applyFill="1" applyBorder="1" applyAlignment="1">
      <alignment horizontal="center" vertical="center" wrapText="1"/>
    </xf>
    <xf numFmtId="4" fontId="0" fillId="8" borderId="2" xfId="0" applyNumberFormat="1" applyFill="1" applyBorder="1" applyAlignment="1">
      <alignment horizontal="right" vertical="center" wrapText="1"/>
    </xf>
    <xf numFmtId="4" fontId="0" fillId="2" borderId="24" xfId="0" applyNumberFormat="1" applyFill="1" applyBorder="1"/>
    <xf numFmtId="0" fontId="7" fillId="2" borderId="22" xfId="0" applyFont="1" applyFill="1" applyBorder="1" applyAlignment="1">
      <alignment horizontal="right"/>
    </xf>
    <xf numFmtId="0" fontId="6" fillId="2" borderId="2" xfId="2" applyFont="1" applyFill="1" applyBorder="1" applyAlignment="1" applyProtection="1">
      <alignment horizontal="center" vertical="center" wrapText="1"/>
      <protection hidden="1"/>
    </xf>
    <xf numFmtId="0" fontId="3" fillId="2" borderId="2" xfId="2" applyFont="1" applyFill="1" applyBorder="1" applyAlignment="1">
      <alignment horizontal="center" vertical="center"/>
    </xf>
    <xf numFmtId="0" fontId="2" fillId="0" borderId="2" xfId="2" applyFont="1" applyBorder="1" applyAlignment="1" applyProtection="1">
      <alignment vertical="center"/>
      <protection locked="0"/>
    </xf>
    <xf numFmtId="164" fontId="2" fillId="0" borderId="2" xfId="2" applyNumberFormat="1" applyFont="1" applyBorder="1" applyAlignment="1" applyProtection="1">
      <alignment vertical="center"/>
      <protection locked="0"/>
    </xf>
    <xf numFmtId="0" fontId="2" fillId="0" borderId="2" xfId="2" applyFont="1" applyBorder="1" applyAlignment="1" applyProtection="1">
      <alignment vertical="center" wrapText="1"/>
      <protection locked="0"/>
    </xf>
    <xf numFmtId="0" fontId="2" fillId="0" borderId="2" xfId="2" applyFont="1" applyBorder="1" applyAlignment="1" applyProtection="1">
      <alignment horizontal="justify" vertical="center" wrapText="1"/>
      <protection locked="0"/>
    </xf>
    <xf numFmtId="165" fontId="3" fillId="10" borderId="2" xfId="0" applyNumberFormat="1" applyFont="1" applyFill="1" applyBorder="1" applyAlignment="1">
      <alignment vertical="center"/>
    </xf>
    <xf numFmtId="0" fontId="9" fillId="0" borderId="2" xfId="1" applyNumberFormat="1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9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8" fillId="2" borderId="7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left" vertical="center"/>
    </xf>
    <xf numFmtId="0" fontId="0" fillId="0" borderId="9" xfId="0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left" vertical="center" wrapText="1"/>
    </xf>
    <xf numFmtId="0" fontId="0" fillId="7" borderId="8" xfId="0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10" fillId="2" borderId="1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8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top" wrapText="1"/>
    </xf>
    <xf numFmtId="0" fontId="11" fillId="2" borderId="10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/>
    </xf>
    <xf numFmtId="0" fontId="7" fillId="2" borderId="16" xfId="0" applyFont="1" applyFill="1" applyBorder="1" applyAlignment="1">
      <alignment horizontal="left" vertical="center"/>
    </xf>
    <xf numFmtId="0" fontId="7" fillId="0" borderId="16" xfId="0" applyFont="1" applyBorder="1" applyAlignment="1" applyProtection="1">
      <alignment horizontal="left" vertical="center"/>
      <protection locked="0"/>
    </xf>
    <xf numFmtId="0" fontId="3" fillId="2" borderId="33" xfId="2" applyFont="1" applyFill="1" applyBorder="1" applyAlignment="1">
      <alignment horizontal="center"/>
    </xf>
    <xf numFmtId="0" fontId="12" fillId="2" borderId="7" xfId="2" applyFont="1" applyFill="1" applyBorder="1" applyAlignment="1">
      <alignment horizontal="center" vertical="center" wrapText="1"/>
    </xf>
    <xf numFmtId="0" fontId="13" fillId="2" borderId="9" xfId="2" applyFont="1" applyFill="1" applyBorder="1" applyAlignment="1">
      <alignment horizontal="center" vertical="center" wrapText="1"/>
    </xf>
    <xf numFmtId="0" fontId="13" fillId="2" borderId="8" xfId="2" applyFont="1" applyFill="1" applyBorder="1" applyAlignment="1">
      <alignment horizontal="center" vertical="center" wrapText="1"/>
    </xf>
    <xf numFmtId="0" fontId="3" fillId="9" borderId="7" xfId="2" applyFont="1" applyFill="1" applyBorder="1" applyAlignment="1">
      <alignment horizontal="left" vertical="center"/>
    </xf>
    <xf numFmtId="0" fontId="3" fillId="9" borderId="8" xfId="2" applyFont="1" applyFill="1" applyBorder="1" applyAlignment="1">
      <alignment horizontal="left" vertical="center"/>
    </xf>
    <xf numFmtId="0" fontId="7" fillId="2" borderId="22" xfId="0" applyFont="1" applyFill="1" applyBorder="1" applyAlignment="1">
      <alignment horizontal="right"/>
    </xf>
    <xf numFmtId="0" fontId="7" fillId="2" borderId="21" xfId="0" applyFont="1" applyFill="1" applyBorder="1" applyAlignment="1">
      <alignment horizontal="right"/>
    </xf>
    <xf numFmtId="0" fontId="7" fillId="2" borderId="23" xfId="0" applyFont="1" applyFill="1" applyBorder="1" applyAlignment="1">
      <alignment horizontal="right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4" fontId="8" fillId="9" borderId="26" xfId="0" applyNumberFormat="1" applyFont="1" applyFill="1" applyBorder="1" applyAlignment="1">
      <alignment horizontal="center" vertical="center"/>
    </xf>
    <xf numFmtId="0" fontId="8" fillId="9" borderId="27" xfId="0" applyFont="1" applyFill="1" applyBorder="1" applyAlignment="1">
      <alignment horizontal="center" vertical="center"/>
    </xf>
    <xf numFmtId="0" fontId="8" fillId="9" borderId="29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5" fillId="0" borderId="17" xfId="0" applyFont="1" applyBorder="1" applyAlignment="1" applyProtection="1">
      <alignment horizontal="left" vertical="center" wrapText="1"/>
      <protection locked="0"/>
    </xf>
    <xf numFmtId="4" fontId="5" fillId="0" borderId="2" xfId="0" applyNumberFormat="1" applyFont="1" applyBorder="1" applyAlignment="1" applyProtection="1">
      <alignment horizontal="right" vertical="center" wrapText="1"/>
      <protection locked="0"/>
    </xf>
    <xf numFmtId="0" fontId="5" fillId="0" borderId="18" xfId="0" applyFont="1" applyBorder="1" applyAlignment="1" applyProtection="1">
      <alignment horizontal="left" vertical="center" wrapText="1"/>
      <protection locked="0"/>
    </xf>
  </cellXfs>
  <cellStyles count="3">
    <cellStyle name="Normal" xfId="0" builtinId="0"/>
    <cellStyle name="Normal 3" xfId="2" xr:uid="{00000000-0005-0000-0000-000001000000}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3922</xdr:rowOff>
    </xdr:to>
    <xdr:pic>
      <xdr:nvPicPr>
        <xdr:cNvPr id="2" name="Picture 1" descr="logo-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0</xdr:row>
      <xdr:rowOff>346822</xdr:rowOff>
    </xdr:to>
    <xdr:pic>
      <xdr:nvPicPr>
        <xdr:cNvPr id="2" name="Picture 1" descr="logo-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0</xdr:row>
      <xdr:rowOff>346822</xdr:rowOff>
    </xdr:to>
    <xdr:pic>
      <xdr:nvPicPr>
        <xdr:cNvPr id="2" name="Picture 1" descr="logo-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3922</xdr:rowOff>
    </xdr:to>
    <xdr:pic>
      <xdr:nvPicPr>
        <xdr:cNvPr id="2" name="Picture 1" descr="logo-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0</xdr:row>
      <xdr:rowOff>346822</xdr:rowOff>
    </xdr:to>
    <xdr:pic>
      <xdr:nvPicPr>
        <xdr:cNvPr id="2" name="Picture 1" descr="logo-n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lddd\oldd\Self\HMP\HMP%20Portal\Templates\Proj%20planning\PLCF012-Project_Cost_Planning_and_Tracking_she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Setup Parameters"/>
      <sheetName val="Modification History"/>
      <sheetName val="Direct Cost"/>
      <sheetName val="Indirect Cost"/>
      <sheetName val="Variance Summary"/>
      <sheetName val="Variance Chart"/>
    </sheetNames>
    <sheetDataSet>
      <sheetData sheetId="0"/>
      <sheetData sheetId="1">
        <row r="2">
          <cell r="A2" t="str">
            <v>Offshore</v>
          </cell>
        </row>
        <row r="3">
          <cell r="A3" t="str">
            <v>Onsite</v>
          </cell>
        </row>
        <row r="4">
          <cell r="A4" t="str">
            <v>Off-On</v>
          </cell>
        </row>
        <row r="9">
          <cell r="C9" t="str">
            <v>PM</v>
          </cell>
        </row>
        <row r="10">
          <cell r="C10" t="str">
            <v>APM</v>
          </cell>
        </row>
        <row r="11">
          <cell r="C11" t="str">
            <v>PL</v>
          </cell>
        </row>
        <row r="12">
          <cell r="C12" t="str">
            <v>SSE</v>
          </cell>
        </row>
        <row r="13">
          <cell r="C13" t="str">
            <v>SE</v>
          </cell>
        </row>
        <row r="18">
          <cell r="E18" t="str">
            <v>Custom clearance charges</v>
          </cell>
        </row>
        <row r="19">
          <cell r="E19" t="str">
            <v>External consultant charges</v>
          </cell>
        </row>
        <row r="20">
          <cell r="E20" t="str">
            <v>Insurance charges</v>
          </cell>
        </row>
        <row r="21">
          <cell r="E21" t="str">
            <v>Specific software cost</v>
          </cell>
        </row>
        <row r="22">
          <cell r="E22" t="str">
            <v>Travel allowance</v>
          </cell>
        </row>
        <row r="23">
          <cell r="E23" t="str">
            <v xml:space="preserve">Travel cost 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sqref="A1:B1"/>
    </sheetView>
  </sheetViews>
  <sheetFormatPr defaultRowHeight="15"/>
  <cols>
    <col min="1" max="1" width="9.140625" style="30"/>
    <col min="2" max="2" width="95.5703125" style="22" customWidth="1"/>
    <col min="3" max="16384" width="9.140625" style="22"/>
  </cols>
  <sheetData>
    <row r="1" spans="1:2" ht="27" customHeight="1">
      <c r="A1" s="75" t="s">
        <v>0</v>
      </c>
      <c r="B1" s="75"/>
    </row>
    <row r="2" spans="1:2" ht="19.5" customHeight="1">
      <c r="A2" s="74" t="s">
        <v>1</v>
      </c>
      <c r="B2" s="74"/>
    </row>
    <row r="4" spans="1:2">
      <c r="A4" s="74" t="s">
        <v>2</v>
      </c>
      <c r="B4" s="74"/>
    </row>
    <row r="5" spans="1:2">
      <c r="A5" s="23">
        <v>1</v>
      </c>
      <c r="B5" s="24" t="s">
        <v>3</v>
      </c>
    </row>
    <row r="6" spans="1:2">
      <c r="A6" s="23">
        <v>2</v>
      </c>
      <c r="B6" s="24" t="s">
        <v>4</v>
      </c>
    </row>
    <row r="7" spans="1:2" s="26" customFormat="1">
      <c r="A7" s="25">
        <v>3</v>
      </c>
      <c r="B7" s="24" t="s">
        <v>5</v>
      </c>
    </row>
    <row r="8" spans="1:2" ht="30">
      <c r="A8" s="23">
        <v>4</v>
      </c>
      <c r="B8" s="24" t="s">
        <v>6</v>
      </c>
    </row>
    <row r="9" spans="1:2" ht="30">
      <c r="A9" s="23">
        <v>5</v>
      </c>
      <c r="B9" s="24" t="s">
        <v>7</v>
      </c>
    </row>
    <row r="10" spans="1:2">
      <c r="A10" s="25">
        <v>6</v>
      </c>
      <c r="B10" s="24" t="s">
        <v>8</v>
      </c>
    </row>
    <row r="11" spans="1:2">
      <c r="A11" s="23">
        <v>7</v>
      </c>
      <c r="B11" s="24" t="s">
        <v>9</v>
      </c>
    </row>
    <row r="12" spans="1:2">
      <c r="A12" s="23">
        <v>8</v>
      </c>
      <c r="B12" s="24" t="s">
        <v>10</v>
      </c>
    </row>
    <row r="13" spans="1:2">
      <c r="A13" s="23">
        <v>9</v>
      </c>
      <c r="B13" s="24" t="s">
        <v>11</v>
      </c>
    </row>
    <row r="14" spans="1:2">
      <c r="A14" s="27"/>
      <c r="B14" s="28"/>
    </row>
    <row r="15" spans="1:2">
      <c r="A15" s="74" t="s">
        <v>12</v>
      </c>
      <c r="B15" s="74"/>
    </row>
    <row r="16" spans="1:2" ht="30">
      <c r="A16" s="23">
        <v>1</v>
      </c>
      <c r="B16" s="24" t="s">
        <v>13</v>
      </c>
    </row>
    <row r="17" spans="1:2">
      <c r="A17" s="23">
        <v>2</v>
      </c>
      <c r="B17" s="24" t="s">
        <v>14</v>
      </c>
    </row>
    <row r="18" spans="1:2">
      <c r="A18" s="27"/>
      <c r="B18" s="28"/>
    </row>
    <row r="19" spans="1:2">
      <c r="A19" s="74" t="s">
        <v>15</v>
      </c>
      <c r="B19" s="74"/>
    </row>
    <row r="20" spans="1:2">
      <c r="A20" s="23">
        <v>1</v>
      </c>
      <c r="B20" s="29" t="s">
        <v>16</v>
      </c>
    </row>
    <row r="21" spans="1:2">
      <c r="A21" s="23">
        <v>2</v>
      </c>
      <c r="B21" s="24" t="s">
        <v>17</v>
      </c>
    </row>
    <row r="22" spans="1:2">
      <c r="A22" s="23">
        <v>3</v>
      </c>
      <c r="B22" s="24" t="s">
        <v>18</v>
      </c>
    </row>
    <row r="23" spans="1:2">
      <c r="A23" s="27"/>
      <c r="B23" s="28"/>
    </row>
    <row r="24" spans="1:2">
      <c r="A24" s="74" t="s">
        <v>19</v>
      </c>
      <c r="B24" s="74"/>
    </row>
    <row r="25" spans="1:2">
      <c r="A25" s="23">
        <v>1</v>
      </c>
      <c r="B25" s="29" t="s">
        <v>20</v>
      </c>
    </row>
  </sheetData>
  <mergeCells count="6">
    <mergeCell ref="A24:B24"/>
    <mergeCell ref="A1:B1"/>
    <mergeCell ref="A4:B4"/>
    <mergeCell ref="A19:B19"/>
    <mergeCell ref="A15:B15"/>
    <mergeCell ref="A2:B2"/>
  </mergeCells>
  <pageMargins left="0.7" right="0.7" top="0.75" bottom="0.75" header="0.3" footer="0.3"/>
  <pageSetup paperSize="9" scale="83" orientation="portrait" r:id="rId1"/>
  <headerFooter>
    <oddHeader>&amp;LWQMS/PAL/PMG/EP/T/1.0&amp;RExpert View Method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zoomScaleNormal="100" workbookViewId="0">
      <selection activeCell="D32" sqref="D32"/>
    </sheetView>
  </sheetViews>
  <sheetFormatPr defaultRowHeight="15"/>
  <cols>
    <col min="1" max="1" width="22.5703125" style="13" customWidth="1"/>
    <col min="2" max="2" width="16" style="13" customWidth="1"/>
    <col min="3" max="3" width="21.7109375" style="13" customWidth="1"/>
    <col min="4" max="4" width="19.140625" style="37" customWidth="1"/>
    <col min="5" max="16384" width="9.140625" style="13"/>
  </cols>
  <sheetData>
    <row r="1" spans="1:4" ht="27.75" customHeight="1" thickBot="1">
      <c r="A1" s="96" t="s">
        <v>2</v>
      </c>
      <c r="B1" s="97"/>
      <c r="C1" s="97"/>
      <c r="D1" s="98"/>
    </row>
    <row r="2" spans="1:4">
      <c r="A2" s="31"/>
      <c r="B2" s="31"/>
      <c r="C2" s="31"/>
      <c r="D2" s="31"/>
    </row>
    <row r="3" spans="1:4">
      <c r="A3" s="99" t="s">
        <v>21</v>
      </c>
      <c r="B3" s="100"/>
      <c r="C3" s="100"/>
      <c r="D3" s="100"/>
    </row>
    <row r="4" spans="1:4">
      <c r="A4" s="38" t="s">
        <v>22</v>
      </c>
      <c r="B4" s="11"/>
      <c r="C4" s="38" t="s">
        <v>23</v>
      </c>
      <c r="D4" s="14"/>
    </row>
    <row r="5" spans="1:4">
      <c r="A5" s="38" t="s">
        <v>24</v>
      </c>
      <c r="C5" s="38" t="s">
        <v>25</v>
      </c>
      <c r="D5" s="15"/>
    </row>
    <row r="6" spans="1:4">
      <c r="A6" s="38" t="s">
        <v>26</v>
      </c>
      <c r="B6" s="12"/>
      <c r="C6" s="38" t="s">
        <v>27</v>
      </c>
      <c r="D6" s="15"/>
    </row>
    <row r="7" spans="1:4">
      <c r="A7" s="38" t="s">
        <v>28</v>
      </c>
      <c r="B7" s="12"/>
      <c r="C7" s="38" t="s">
        <v>29</v>
      </c>
      <c r="D7" s="15"/>
    </row>
    <row r="8" spans="1:4">
      <c r="A8" s="79"/>
      <c r="B8" s="80"/>
      <c r="C8" s="80"/>
      <c r="D8" s="81"/>
    </row>
    <row r="9" spans="1:4">
      <c r="A9" s="89" t="s">
        <v>30</v>
      </c>
      <c r="B9" s="90"/>
      <c r="C9" s="90"/>
      <c r="D9" s="91"/>
    </row>
    <row r="10" spans="1:4">
      <c r="A10" s="89" t="s">
        <v>31</v>
      </c>
      <c r="B10" s="91"/>
      <c r="C10" s="39" t="s">
        <v>32</v>
      </c>
      <c r="D10" s="39" t="s">
        <v>33</v>
      </c>
    </row>
    <row r="11" spans="1:4" ht="30" customHeight="1">
      <c r="A11" s="92" t="str">
        <f>'Estimation Criteria'!A10</f>
        <v>Requirement Development Phase</v>
      </c>
      <c r="B11" s="93"/>
      <c r="C11" s="40">
        <f>'Estimation Criteria'!B10</f>
        <v>20</v>
      </c>
      <c r="D11" s="40">
        <f>IF(NOT(ISBLANK(C11)),(($D$13/$C$13)*100)*C11/100,"")</f>
        <v>24</v>
      </c>
    </row>
    <row r="12" spans="1:4" ht="18" customHeight="1">
      <c r="A12" s="92" t="str">
        <f>'Estimation Criteria'!A11</f>
        <v>Design Phase</v>
      </c>
      <c r="B12" s="93"/>
      <c r="C12" s="40">
        <f>'Estimation Criteria'!B11</f>
        <v>10</v>
      </c>
      <c r="D12" s="40">
        <f>IF(NOT(ISBLANK(C12)),(($D$13/$C$13)*100)*C12/100,"")</f>
        <v>12</v>
      </c>
    </row>
    <row r="13" spans="1:4" ht="15" customHeight="1">
      <c r="A13" s="92" t="str">
        <f>'Estimation Criteria'!A12</f>
        <v>Coding and Unit Testing Phase</v>
      </c>
      <c r="B13" s="93"/>
      <c r="C13" s="40">
        <f>'Estimation Criteria'!B12</f>
        <v>30</v>
      </c>
      <c r="D13" s="40">
        <f>'Estimation Sheet'!E21</f>
        <v>36</v>
      </c>
    </row>
    <row r="14" spans="1:4">
      <c r="A14" s="92" t="str">
        <f>'Estimation Criteria'!A13</f>
        <v>Testing Phase</v>
      </c>
      <c r="B14" s="93"/>
      <c r="C14" s="40">
        <f>'Estimation Criteria'!B13</f>
        <v>5</v>
      </c>
      <c r="D14" s="40">
        <f t="shared" ref="D14:D18" si="0">IF(NOT(ISBLANK(C14)),(($D$13/$C$13)*100)*C14/100,"")</f>
        <v>6</v>
      </c>
    </row>
    <row r="15" spans="1:4" ht="15" customHeight="1">
      <c r="A15" s="92" t="str">
        <f>'Estimation Criteria'!A14</f>
        <v>User Acceptance Testing</v>
      </c>
      <c r="B15" s="93"/>
      <c r="C15" s="40">
        <f>'Estimation Criteria'!B14</f>
        <v>10</v>
      </c>
      <c r="D15" s="40">
        <f t="shared" si="0"/>
        <v>12</v>
      </c>
    </row>
    <row r="16" spans="1:4">
      <c r="A16" s="92" t="str">
        <f>'Estimation Criteria'!A15</f>
        <v>Certification Testing Phase</v>
      </c>
      <c r="B16" s="93"/>
      <c r="C16" s="40">
        <f>'Estimation Criteria'!B15</f>
        <v>10</v>
      </c>
      <c r="D16" s="40">
        <f t="shared" si="0"/>
        <v>12</v>
      </c>
    </row>
    <row r="17" spans="1:4" ht="15" customHeight="1">
      <c r="A17" s="92" t="str">
        <f>'Estimation Criteria'!A16</f>
        <v>STQC Phase</v>
      </c>
      <c r="B17" s="93"/>
      <c r="C17" s="40">
        <f>'Estimation Criteria'!B16</f>
        <v>10</v>
      </c>
      <c r="D17" s="40">
        <f t="shared" si="0"/>
        <v>12</v>
      </c>
    </row>
    <row r="18" spans="1:4">
      <c r="A18" s="92" t="str">
        <f>'Estimation Criteria'!A17</f>
        <v>Go-Live</v>
      </c>
      <c r="B18" s="93"/>
      <c r="C18" s="40">
        <f>'Estimation Criteria'!B17</f>
        <v>5</v>
      </c>
      <c r="D18" s="40">
        <f t="shared" si="0"/>
        <v>6</v>
      </c>
    </row>
    <row r="19" spans="1:4">
      <c r="A19" s="94" t="s">
        <v>34</v>
      </c>
      <c r="B19" s="95"/>
      <c r="C19" s="39">
        <f>SUM(C11:C18)</f>
        <v>100</v>
      </c>
      <c r="D19" s="16">
        <f>SUM(D11:D18)</f>
        <v>120</v>
      </c>
    </row>
    <row r="20" spans="1:4">
      <c r="A20" s="78" t="s">
        <v>35</v>
      </c>
      <c r="B20" s="78"/>
      <c r="C20" s="78"/>
      <c r="D20" s="16">
        <f>'Estimation Criteria'!F6</f>
        <v>18</v>
      </c>
    </row>
    <row r="21" spans="1:4">
      <c r="A21" s="78" t="s">
        <v>36</v>
      </c>
      <c r="B21" s="78"/>
      <c r="C21" s="78"/>
      <c r="D21" s="41">
        <f>D20/D19</f>
        <v>0.15</v>
      </c>
    </row>
    <row r="22" spans="1:4">
      <c r="A22" s="32"/>
      <c r="B22" s="33"/>
      <c r="C22" s="33"/>
      <c r="D22" s="34"/>
    </row>
    <row r="23" spans="1:4">
      <c r="A23" s="85" t="s">
        <v>37</v>
      </c>
      <c r="B23" s="86"/>
      <c r="C23" s="87"/>
      <c r="D23" s="73">
        <f>'Miscellaneous Effort'!C14</f>
        <v>120</v>
      </c>
    </row>
    <row r="24" spans="1:4">
      <c r="A24" s="32"/>
      <c r="B24" s="33"/>
      <c r="C24" s="33"/>
      <c r="D24" s="34"/>
    </row>
    <row r="25" spans="1:4">
      <c r="A25" s="85" t="s">
        <v>38</v>
      </c>
      <c r="B25" s="86"/>
      <c r="C25" s="87"/>
      <c r="D25" s="73">
        <v>0.1</v>
      </c>
    </row>
    <row r="26" spans="1:4">
      <c r="A26" s="79"/>
      <c r="B26" s="80"/>
      <c r="C26" s="80"/>
      <c r="D26" s="81"/>
    </row>
    <row r="27" spans="1:4">
      <c r="A27" s="82" t="s">
        <v>39</v>
      </c>
      <c r="B27" s="83"/>
      <c r="C27" s="84"/>
      <c r="D27" s="16">
        <f>D19+D23+((D19+D23)*D25)</f>
        <v>264</v>
      </c>
    </row>
    <row r="28" spans="1:4">
      <c r="A28" s="88"/>
      <c r="B28" s="88"/>
      <c r="C28" s="88"/>
      <c r="D28" s="88"/>
    </row>
    <row r="29" spans="1:4">
      <c r="A29" s="78" t="s">
        <v>40</v>
      </c>
      <c r="B29" s="78"/>
      <c r="C29" s="78"/>
      <c r="D29" s="35">
        <v>0.2</v>
      </c>
    </row>
    <row r="30" spans="1:4">
      <c r="A30" s="88"/>
      <c r="B30" s="88"/>
      <c r="C30" s="88"/>
      <c r="D30" s="88"/>
    </row>
    <row r="31" spans="1:4">
      <c r="A31" s="36" t="s">
        <v>41</v>
      </c>
      <c r="B31" s="42"/>
      <c r="C31" s="43"/>
      <c r="D31" s="16">
        <f>D27+(D27*D29)</f>
        <v>316.8</v>
      </c>
    </row>
    <row r="33" spans="1:4">
      <c r="A33" s="77" t="s">
        <v>42</v>
      </c>
      <c r="B33" s="77"/>
      <c r="C33" s="77"/>
      <c r="D33" s="77"/>
    </row>
    <row r="34" spans="1:4">
      <c r="A34" s="76"/>
      <c r="B34" s="76"/>
      <c r="C34" s="76"/>
      <c r="D34" s="76"/>
    </row>
    <row r="35" spans="1:4">
      <c r="A35" s="76"/>
      <c r="B35" s="76"/>
      <c r="C35" s="76"/>
      <c r="D35" s="76"/>
    </row>
    <row r="36" spans="1:4">
      <c r="A36" s="76"/>
      <c r="B36" s="76"/>
      <c r="C36" s="76"/>
      <c r="D36" s="76"/>
    </row>
    <row r="37" spans="1:4">
      <c r="A37" s="76"/>
      <c r="B37" s="76"/>
      <c r="C37" s="76"/>
      <c r="D37" s="76"/>
    </row>
    <row r="38" spans="1:4">
      <c r="A38" s="76"/>
      <c r="B38" s="76"/>
      <c r="C38" s="76"/>
      <c r="D38" s="76"/>
    </row>
    <row r="39" spans="1:4">
      <c r="A39" s="77" t="s">
        <v>43</v>
      </c>
      <c r="B39" s="77"/>
      <c r="C39" s="77"/>
      <c r="D39" s="77"/>
    </row>
    <row r="40" spans="1:4">
      <c r="A40" s="76"/>
      <c r="B40" s="76"/>
      <c r="C40" s="76"/>
      <c r="D40" s="76"/>
    </row>
    <row r="41" spans="1:4">
      <c r="A41" s="76"/>
      <c r="B41" s="76"/>
      <c r="C41" s="76"/>
      <c r="D41" s="76"/>
    </row>
    <row r="42" spans="1:4">
      <c r="A42" s="76"/>
      <c r="B42" s="76"/>
      <c r="C42" s="76"/>
      <c r="D42" s="76"/>
    </row>
    <row r="43" spans="1:4">
      <c r="A43" s="76"/>
      <c r="B43" s="76"/>
      <c r="C43" s="76"/>
      <c r="D43" s="76"/>
    </row>
    <row r="44" spans="1:4">
      <c r="A44" s="76"/>
      <c r="B44" s="76"/>
      <c r="C44" s="76"/>
      <c r="D44" s="76"/>
    </row>
  </sheetData>
  <mergeCells count="35">
    <mergeCell ref="A1:D1"/>
    <mergeCell ref="A3:D3"/>
    <mergeCell ref="A33:D33"/>
    <mergeCell ref="A34:D34"/>
    <mergeCell ref="A14:B14"/>
    <mergeCell ref="A15:B15"/>
    <mergeCell ref="A16:B16"/>
    <mergeCell ref="A17:B17"/>
    <mergeCell ref="A18:B18"/>
    <mergeCell ref="A21:C21"/>
    <mergeCell ref="A35:D35"/>
    <mergeCell ref="A29:C29"/>
    <mergeCell ref="A26:D26"/>
    <mergeCell ref="A27:C27"/>
    <mergeCell ref="A8:D8"/>
    <mergeCell ref="A25:C25"/>
    <mergeCell ref="A28:D28"/>
    <mergeCell ref="A30:D30"/>
    <mergeCell ref="A9:D9"/>
    <mergeCell ref="A10:B10"/>
    <mergeCell ref="A11:B11"/>
    <mergeCell ref="A13:B13"/>
    <mergeCell ref="A19:B19"/>
    <mergeCell ref="A20:C20"/>
    <mergeCell ref="A12:B12"/>
    <mergeCell ref="A23:C23"/>
    <mergeCell ref="A41:D41"/>
    <mergeCell ref="A42:D42"/>
    <mergeCell ref="A43:D43"/>
    <mergeCell ref="A44:D44"/>
    <mergeCell ref="A36:D36"/>
    <mergeCell ref="A37:D37"/>
    <mergeCell ref="A38:D38"/>
    <mergeCell ref="A39:D39"/>
    <mergeCell ref="A40:D40"/>
  </mergeCells>
  <pageMargins left="0.7" right="0.7" top="0.75" bottom="0.75" header="0.3" footer="0.3"/>
  <pageSetup paperSize="9" orientation="portrait" r:id="rId1"/>
  <headerFooter>
    <oddHeader>&amp;LEMT&amp;CEstimation Method&amp;RVer 1.0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6"/>
  <sheetViews>
    <sheetView topLeftCell="B1" workbookViewId="0">
      <selection activeCell="E3" sqref="E3"/>
    </sheetView>
  </sheetViews>
  <sheetFormatPr defaultRowHeight="15"/>
  <cols>
    <col min="3" max="3" width="43.140625" customWidth="1"/>
    <col min="4" max="4" width="14.140625" customWidth="1"/>
  </cols>
  <sheetData>
    <row r="1" spans="2:5" ht="15.75" thickBot="1"/>
    <row r="2" spans="2:5" ht="16.5" thickBot="1">
      <c r="B2" s="5" t="s">
        <v>44</v>
      </c>
      <c r="C2" s="6" t="s">
        <v>45</v>
      </c>
      <c r="D2" s="7" t="s">
        <v>46</v>
      </c>
    </row>
    <row r="3" spans="2:5">
      <c r="B3" s="8">
        <v>1</v>
      </c>
      <c r="C3" s="2" t="s">
        <v>47</v>
      </c>
      <c r="D3" t="e">
        <f>#REF!</f>
        <v>#REF!</v>
      </c>
      <c r="E3" t="e">
        <f>HLOOKUP(D3,#REF!, 2,FALSE)</f>
        <v>#REF!</v>
      </c>
    </row>
    <row r="4" spans="2:5" ht="15.75">
      <c r="B4" s="8">
        <v>2</v>
      </c>
      <c r="C4" s="3" t="s">
        <v>48</v>
      </c>
      <c r="D4" t="e">
        <f>#REF!</f>
        <v>#REF!</v>
      </c>
      <c r="E4" t="e">
        <f>HLOOKUP(D4,#REF!, 3,FALSE)</f>
        <v>#REF!</v>
      </c>
    </row>
    <row r="5" spans="2:5" ht="15.75">
      <c r="B5" s="8">
        <v>3</v>
      </c>
      <c r="C5" s="3" t="s">
        <v>49</v>
      </c>
      <c r="D5" t="e">
        <f>#REF!</f>
        <v>#REF!</v>
      </c>
      <c r="E5" t="e">
        <f>HLOOKUP(D5,#REF!, 4,FALSE)</f>
        <v>#REF!</v>
      </c>
    </row>
    <row r="6" spans="2:5" ht="15.75">
      <c r="B6" s="8">
        <v>4</v>
      </c>
      <c r="C6" s="3" t="s">
        <v>50</v>
      </c>
      <c r="D6" t="e">
        <f>#REF!</f>
        <v>#REF!</v>
      </c>
      <c r="E6" t="e">
        <f>HLOOKUP(D6,#REF!, 5,FALSE)</f>
        <v>#REF!</v>
      </c>
    </row>
    <row r="7" spans="2:5">
      <c r="B7" s="8">
        <v>5</v>
      </c>
      <c r="C7" s="4" t="s">
        <v>51</v>
      </c>
      <c r="D7" t="e">
        <f>#REF!</f>
        <v>#REF!</v>
      </c>
      <c r="E7" t="e">
        <f>HLOOKUP(D7,#REF!, 6,FALSE)</f>
        <v>#REF!</v>
      </c>
    </row>
    <row r="8" spans="2:5" ht="15.75">
      <c r="B8" s="8">
        <v>6</v>
      </c>
      <c r="C8" s="9" t="s">
        <v>52</v>
      </c>
      <c r="D8" t="e">
        <f>#REF!</f>
        <v>#REF!</v>
      </c>
      <c r="E8" t="e">
        <f>HLOOKUP(D8,#REF!, 7,FALSE)</f>
        <v>#REF!</v>
      </c>
    </row>
    <row r="9" spans="2:5" ht="15.75">
      <c r="B9" s="8">
        <v>7</v>
      </c>
      <c r="C9" s="9" t="s">
        <v>53</v>
      </c>
      <c r="D9" t="e">
        <f>#REF!</f>
        <v>#REF!</v>
      </c>
      <c r="E9" t="e">
        <f>HLOOKUP(D9,#REF!, 8,FALSE)</f>
        <v>#REF!</v>
      </c>
    </row>
    <row r="10" spans="2:5">
      <c r="B10" s="8">
        <v>8</v>
      </c>
      <c r="C10" s="1" t="s">
        <v>54</v>
      </c>
      <c r="D10" t="e">
        <f>#REF!</f>
        <v>#REF!</v>
      </c>
      <c r="E10" t="e">
        <f>HLOOKUP(D10,#REF!, 9,FALSE)</f>
        <v>#REF!</v>
      </c>
    </row>
    <row r="11" spans="2:5" ht="15.75" thickBot="1">
      <c r="B11" s="8">
        <v>9</v>
      </c>
      <c r="C11" s="2" t="s">
        <v>55</v>
      </c>
      <c r="D11" t="e">
        <f>#REF!</f>
        <v>#REF!</v>
      </c>
      <c r="E11" t="e">
        <f>HLOOKUP(D11,#REF!, 10,FALSE)</f>
        <v>#REF!</v>
      </c>
    </row>
    <row r="12" spans="2:5" ht="16.5" thickBot="1">
      <c r="B12" s="101"/>
      <c r="C12" s="102"/>
      <c r="D12" s="10"/>
      <c r="E12" t="e">
        <f>AVERAGE(E3:E11)</f>
        <v>#REF!</v>
      </c>
    </row>
    <row r="16" spans="2:5">
      <c r="C16" t="s">
        <v>56</v>
      </c>
      <c r="D16" t="e">
        <f>(SUM(#REF!)*#REF!+SUM(#REF!)*#REF!+SUM(#REF!)*#REF!)</f>
        <v>#REF!</v>
      </c>
    </row>
  </sheetData>
  <mergeCells count="1"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zoomScaleNormal="100" workbookViewId="0">
      <selection activeCell="E2" sqref="E2"/>
    </sheetView>
  </sheetViews>
  <sheetFormatPr defaultRowHeight="15"/>
  <cols>
    <col min="1" max="1" width="26.7109375" style="13" customWidth="1"/>
    <col min="2" max="2" width="16.140625" style="13" customWidth="1"/>
    <col min="3" max="3" width="14.85546875" style="13" customWidth="1"/>
    <col min="4" max="4" width="16.42578125" style="13" customWidth="1"/>
    <col min="5" max="5" width="15.28515625" style="13" customWidth="1"/>
    <col min="6" max="6" width="10.5703125" style="13" bestFit="1" customWidth="1"/>
    <col min="7" max="16384" width="9.140625" style="13"/>
  </cols>
  <sheetData>
    <row r="1" spans="1:6" ht="27.75" customHeight="1" thickBot="1">
      <c r="A1" s="103" t="s">
        <v>57</v>
      </c>
      <c r="B1" s="105"/>
      <c r="C1" s="105"/>
      <c r="D1" s="105"/>
      <c r="E1" s="105"/>
      <c r="F1" s="104"/>
    </row>
    <row r="2" spans="1:6" ht="50.25" customHeight="1">
      <c r="A2" s="45"/>
      <c r="B2" s="46" t="s">
        <v>58</v>
      </c>
      <c r="C2" s="46" t="s">
        <v>59</v>
      </c>
      <c r="D2" s="46" t="s">
        <v>60</v>
      </c>
      <c r="E2" s="46" t="s">
        <v>61</v>
      </c>
      <c r="F2" s="46" t="s">
        <v>56</v>
      </c>
    </row>
    <row r="3" spans="1:6">
      <c r="A3" s="47" t="s">
        <v>62</v>
      </c>
      <c r="B3" s="44" t="s">
        <v>63</v>
      </c>
      <c r="C3" s="44">
        <v>2</v>
      </c>
      <c r="D3" s="48">
        <f>IF(NOT(ISBLANK(C3)),C3/C3,"")</f>
        <v>1</v>
      </c>
      <c r="E3" s="40">
        <f>COUNTIF('Estimation Sheet'!D$5:D$20,"Low")</f>
        <v>13</v>
      </c>
      <c r="F3" s="48">
        <f>E3*D3</f>
        <v>13</v>
      </c>
    </row>
    <row r="4" spans="1:6">
      <c r="A4" s="47" t="s">
        <v>64</v>
      </c>
      <c r="B4" s="44" t="s">
        <v>65</v>
      </c>
      <c r="C4" s="44">
        <v>3</v>
      </c>
      <c r="D4" s="48">
        <f>IF(NOT(ISBLANK(C4)),C4/C3,"")</f>
        <v>1.5</v>
      </c>
      <c r="E4" s="40">
        <f>COUNTIF('Estimation Sheet'!D$5:D$20,"Medium")</f>
        <v>2</v>
      </c>
      <c r="F4" s="48">
        <f t="shared" ref="F4:F5" si="0">E4*D4</f>
        <v>3</v>
      </c>
    </row>
    <row r="5" spans="1:6">
      <c r="A5" s="47" t="s">
        <v>66</v>
      </c>
      <c r="B5" s="44" t="s">
        <v>67</v>
      </c>
      <c r="C5" s="44">
        <v>4</v>
      </c>
      <c r="D5" s="48">
        <f>IF(NOT(ISBLANK(C5)),C5/C3,"")</f>
        <v>2</v>
      </c>
      <c r="E5" s="40">
        <f>COUNTIF('Estimation Sheet'!D$5:D$20,"High")</f>
        <v>1</v>
      </c>
      <c r="F5" s="48">
        <f t="shared" si="0"/>
        <v>2</v>
      </c>
    </row>
    <row r="6" spans="1:6">
      <c r="E6" s="49" t="s">
        <v>56</v>
      </c>
      <c r="F6" s="50">
        <f>SUM(F3:F5)</f>
        <v>18</v>
      </c>
    </row>
    <row r="7" spans="1:6" ht="15.75" thickBot="1"/>
    <row r="8" spans="1:6" ht="21.75" customHeight="1" thickBot="1">
      <c r="A8" s="103" t="s">
        <v>30</v>
      </c>
      <c r="B8" s="104"/>
    </row>
    <row r="9" spans="1:6" ht="21.75" customHeight="1">
      <c r="A9" s="51" t="s">
        <v>31</v>
      </c>
      <c r="B9" s="51" t="s">
        <v>32</v>
      </c>
    </row>
    <row r="10" spans="1:6" ht="30">
      <c r="A10" s="52" t="s">
        <v>68</v>
      </c>
      <c r="B10" s="44">
        <v>20</v>
      </c>
    </row>
    <row r="11" spans="1:6">
      <c r="A11" s="53" t="s">
        <v>69</v>
      </c>
      <c r="B11" s="44">
        <v>10</v>
      </c>
    </row>
    <row r="12" spans="1:6">
      <c r="A12" s="53" t="s">
        <v>70</v>
      </c>
      <c r="B12" s="44">
        <v>30</v>
      </c>
    </row>
    <row r="13" spans="1:6">
      <c r="A13" s="53" t="s">
        <v>71</v>
      </c>
      <c r="B13" s="44">
        <v>5</v>
      </c>
    </row>
    <row r="14" spans="1:6">
      <c r="A14" s="53" t="s">
        <v>72</v>
      </c>
      <c r="B14" s="44">
        <v>10</v>
      </c>
    </row>
    <row r="15" spans="1:6">
      <c r="A15" s="53" t="s">
        <v>73</v>
      </c>
      <c r="B15" s="44">
        <v>10</v>
      </c>
    </row>
    <row r="16" spans="1:6">
      <c r="A16" s="53" t="s">
        <v>74</v>
      </c>
      <c r="B16" s="44">
        <v>10</v>
      </c>
    </row>
    <row r="17" spans="1:2">
      <c r="A17" s="53" t="s">
        <v>75</v>
      </c>
      <c r="B17" s="44">
        <v>5</v>
      </c>
    </row>
    <row r="18" spans="1:2">
      <c r="A18" s="39" t="s">
        <v>76</v>
      </c>
      <c r="B18" s="39">
        <f>SUM(B10:B17)</f>
        <v>100</v>
      </c>
    </row>
    <row r="19" spans="1:2">
      <c r="A19" s="22"/>
      <c r="B19" s="22"/>
    </row>
  </sheetData>
  <mergeCells count="2">
    <mergeCell ref="A8:B8"/>
    <mergeCell ref="A1:F1"/>
  </mergeCells>
  <pageMargins left="0.7" right="0.7" top="0.75" bottom="0.75" header="0.3" footer="0.3"/>
  <pageSetup paperSize="9" scale="73" orientation="portrait" r:id="rId1"/>
  <headerFooter>
    <oddHeader>&amp;LEMT&amp;CEstimation Method&amp;RVer 1.0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zoomScaleNormal="100" workbookViewId="0">
      <selection activeCell="D10" sqref="D10"/>
    </sheetView>
  </sheetViews>
  <sheetFormatPr defaultRowHeight="15"/>
  <cols>
    <col min="1" max="1" width="9.140625" style="54"/>
    <col min="2" max="2" width="16.140625" style="54" customWidth="1"/>
    <col min="3" max="4" width="16.28515625" style="54" customWidth="1"/>
    <col min="5" max="5" width="18" style="54" customWidth="1"/>
    <col min="6" max="16384" width="9.140625" style="54"/>
  </cols>
  <sheetData>
    <row r="1" spans="1:5" ht="27" customHeight="1" thickBot="1">
      <c r="A1" s="106" t="s">
        <v>15</v>
      </c>
      <c r="B1" s="107"/>
      <c r="C1" s="107"/>
      <c r="D1" s="107"/>
      <c r="E1" s="108"/>
    </row>
    <row r="2" spans="1:5" ht="30.75" customHeight="1">
      <c r="A2" s="110" t="s">
        <v>77</v>
      </c>
      <c r="B2" s="110"/>
      <c r="C2" s="111"/>
      <c r="D2" s="111"/>
      <c r="E2" s="111"/>
    </row>
    <row r="3" spans="1:5" s="13" customFormat="1" ht="30.75" customHeight="1">
      <c r="A3" s="109" t="s">
        <v>78</v>
      </c>
      <c r="B3" s="109"/>
      <c r="C3" s="109"/>
      <c r="D3" s="109"/>
      <c r="E3" s="109"/>
    </row>
    <row r="4" spans="1:5" s="55" customFormat="1" ht="51" customHeight="1">
      <c r="A4" s="58" t="s">
        <v>79</v>
      </c>
      <c r="B4" s="58" t="s">
        <v>80</v>
      </c>
      <c r="C4" s="58" t="s">
        <v>81</v>
      </c>
      <c r="D4" s="58" t="s">
        <v>82</v>
      </c>
      <c r="E4" s="58" t="s">
        <v>83</v>
      </c>
    </row>
    <row r="5" spans="1:5">
      <c r="A5" s="56"/>
      <c r="B5" s="56"/>
      <c r="C5" s="57" t="s">
        <v>84</v>
      </c>
      <c r="D5" s="57" t="s">
        <v>62</v>
      </c>
      <c r="E5" s="59">
        <f>VLOOKUP(D5,'Estimation Criteria'!$A$3:$C$5,3,FALSE)</f>
        <v>2</v>
      </c>
    </row>
    <row r="6" spans="1:5">
      <c r="A6" s="56"/>
      <c r="B6" s="56"/>
      <c r="C6" s="57" t="s">
        <v>85</v>
      </c>
      <c r="D6" s="57" t="s">
        <v>62</v>
      </c>
      <c r="E6" s="59">
        <f>VLOOKUP(D6,'Estimation Criteria'!$A$3:$C$5,3,FALSE)</f>
        <v>2</v>
      </c>
    </row>
    <row r="7" spans="1:5">
      <c r="A7" s="56"/>
      <c r="B7" s="56"/>
      <c r="C7" s="57" t="s">
        <v>86</v>
      </c>
      <c r="D7" s="57" t="s">
        <v>66</v>
      </c>
      <c r="E7" s="59">
        <f>VLOOKUP(D7,'Estimation Criteria'!$A$3:$C$5,3,FALSE)</f>
        <v>4</v>
      </c>
    </row>
    <row r="8" spans="1:5">
      <c r="A8" s="56"/>
      <c r="B8" s="56"/>
      <c r="C8" s="57" t="s">
        <v>87</v>
      </c>
      <c r="D8" s="57" t="s">
        <v>62</v>
      </c>
      <c r="E8" s="59">
        <f>VLOOKUP(D8,'Estimation Criteria'!$A$3:$C$5,3,FALSE)</f>
        <v>2</v>
      </c>
    </row>
    <row r="9" spans="1:5">
      <c r="A9" s="56"/>
      <c r="B9" s="56"/>
      <c r="C9" s="57" t="s">
        <v>88</v>
      </c>
      <c r="D9" s="57" t="s">
        <v>62</v>
      </c>
      <c r="E9" s="59">
        <f>VLOOKUP(D9,'Estimation Criteria'!$A$3:$C$5,3,FALSE)</f>
        <v>2</v>
      </c>
    </row>
    <row r="10" spans="1:5">
      <c r="A10" s="56"/>
      <c r="B10" s="56"/>
      <c r="C10" s="57" t="s">
        <v>89</v>
      </c>
      <c r="D10" s="57" t="s">
        <v>62</v>
      </c>
      <c r="E10" s="59">
        <f>VLOOKUP(D10,'Estimation Criteria'!$A$3:$C$5,3,FALSE)</f>
        <v>2</v>
      </c>
    </row>
    <row r="11" spans="1:5">
      <c r="A11" s="56"/>
      <c r="B11" s="56"/>
      <c r="C11" s="57" t="s">
        <v>90</v>
      </c>
      <c r="D11" s="57" t="s">
        <v>64</v>
      </c>
      <c r="E11" s="59">
        <f>VLOOKUP(D11,'Estimation Criteria'!$A$3:$C$5,3,FALSE)</f>
        <v>3</v>
      </c>
    </row>
    <row r="12" spans="1:5">
      <c r="A12" s="56"/>
      <c r="B12" s="56"/>
      <c r="C12" s="57" t="s">
        <v>91</v>
      </c>
      <c r="D12" s="57" t="s">
        <v>64</v>
      </c>
      <c r="E12" s="59">
        <f>VLOOKUP(D12,'Estimation Criteria'!$A$3:$C$5,3,FALSE)</f>
        <v>3</v>
      </c>
    </row>
    <row r="13" spans="1:5">
      <c r="A13" s="56"/>
      <c r="B13" s="56"/>
      <c r="C13" s="57" t="s">
        <v>92</v>
      </c>
      <c r="D13" s="57" t="s">
        <v>62</v>
      </c>
      <c r="E13" s="59">
        <f>VLOOKUP(D13,'Estimation Criteria'!$A$3:$C$5,3,FALSE)</f>
        <v>2</v>
      </c>
    </row>
    <row r="14" spans="1:5">
      <c r="A14" s="56"/>
      <c r="B14" s="56"/>
      <c r="C14" s="57" t="s">
        <v>93</v>
      </c>
      <c r="D14" s="57" t="s">
        <v>62</v>
      </c>
      <c r="E14" s="59">
        <f>VLOOKUP(D14,'Estimation Criteria'!$A$3:$C$5,3,FALSE)</f>
        <v>2</v>
      </c>
    </row>
    <row r="15" spans="1:5">
      <c r="A15" s="56"/>
      <c r="B15" s="56"/>
      <c r="C15" s="57" t="s">
        <v>94</v>
      </c>
      <c r="D15" s="57" t="s">
        <v>62</v>
      </c>
      <c r="E15" s="59">
        <f>VLOOKUP(D15,'Estimation Criteria'!$A$3:$C$5,3,FALSE)</f>
        <v>2</v>
      </c>
    </row>
    <row r="16" spans="1:5">
      <c r="A16" s="56"/>
      <c r="B16" s="56"/>
      <c r="C16" s="57" t="s">
        <v>95</v>
      </c>
      <c r="D16" s="57" t="s">
        <v>62</v>
      </c>
      <c r="E16" s="59">
        <f>VLOOKUP(D16,'Estimation Criteria'!$A$3:$C$5,3,FALSE)</f>
        <v>2</v>
      </c>
    </row>
    <row r="17" spans="1:5">
      <c r="A17" s="56"/>
      <c r="B17" s="56"/>
      <c r="C17" s="57" t="s">
        <v>96</v>
      </c>
      <c r="D17" s="57" t="s">
        <v>62</v>
      </c>
      <c r="E17" s="59">
        <f>VLOOKUP(D17,'Estimation Criteria'!$A$3:$C$5,3,FALSE)</f>
        <v>2</v>
      </c>
    </row>
    <row r="18" spans="1:5">
      <c r="A18" s="56"/>
      <c r="B18" s="56"/>
      <c r="C18" s="57" t="s">
        <v>97</v>
      </c>
      <c r="D18" s="57" t="s">
        <v>62</v>
      </c>
      <c r="E18" s="59">
        <f>VLOOKUP(D18,'Estimation Criteria'!$A$3:$C$5,3,FALSE)</f>
        <v>2</v>
      </c>
    </row>
    <row r="19" spans="1:5">
      <c r="A19" s="56"/>
      <c r="B19" s="56"/>
      <c r="C19" s="57" t="s">
        <v>98</v>
      </c>
      <c r="D19" s="57" t="s">
        <v>62</v>
      </c>
      <c r="E19" s="59">
        <f>VLOOKUP(D19,'Estimation Criteria'!$A$3:$C$5,3,FALSE)</f>
        <v>2</v>
      </c>
    </row>
    <row r="20" spans="1:5">
      <c r="A20" s="56"/>
      <c r="B20" s="56"/>
      <c r="C20" s="57" t="s">
        <v>84</v>
      </c>
      <c r="D20" s="57" t="s">
        <v>62</v>
      </c>
      <c r="E20" s="59">
        <f>VLOOKUP(D20,'Estimation Criteria'!$A$3:$C$5,3,FALSE)</f>
        <v>2</v>
      </c>
    </row>
    <row r="21" spans="1:5">
      <c r="D21" s="60" t="s">
        <v>99</v>
      </c>
      <c r="E21" s="60">
        <f t="shared" ref="E21" si="0">SUM(E5:E20)</f>
        <v>36</v>
      </c>
    </row>
  </sheetData>
  <mergeCells count="4">
    <mergeCell ref="A1:E1"/>
    <mergeCell ref="A3:E3"/>
    <mergeCell ref="A2:B2"/>
    <mergeCell ref="C2:E2"/>
  </mergeCells>
  <pageMargins left="0.7" right="0.7" top="0.75" bottom="0.75" header="0.3" footer="0.3"/>
  <pageSetup paperSize="9" orientation="portrait" r:id="rId1"/>
  <headerFooter>
    <oddHeader>&amp;LEMT&amp;CEstimation Method&amp;RVer 1.0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'Estimation Criteria'!$A$3:$A$5</xm:f>
          </x14:formula1>
          <xm:sqref>D5:D20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workbookViewId="0">
      <selection activeCell="B7" sqref="B7"/>
    </sheetView>
  </sheetViews>
  <sheetFormatPr defaultRowHeight="15"/>
  <cols>
    <col min="1" max="1" width="9" customWidth="1"/>
    <col min="2" max="2" width="57.5703125" customWidth="1"/>
    <col min="3" max="3" width="19.140625" customWidth="1"/>
  </cols>
  <sheetData>
    <row r="1" spans="1:3" ht="15.75">
      <c r="A1" s="112" t="s">
        <v>100</v>
      </c>
      <c r="B1" s="112"/>
      <c r="C1" s="112"/>
    </row>
    <row r="2" spans="1:3" ht="45.75" customHeight="1">
      <c r="A2" s="113" t="s">
        <v>101</v>
      </c>
      <c r="B2" s="114"/>
      <c r="C2" s="115"/>
    </row>
    <row r="3" spans="1:3" ht="21" customHeight="1">
      <c r="A3" s="66" t="s">
        <v>79</v>
      </c>
      <c r="B3" s="67" t="s">
        <v>100</v>
      </c>
      <c r="C3" s="67" t="s">
        <v>102</v>
      </c>
    </row>
    <row r="4" spans="1:3">
      <c r="A4" s="68">
        <v>1</v>
      </c>
      <c r="B4" s="68" t="s">
        <v>103</v>
      </c>
      <c r="C4" s="69">
        <v>100</v>
      </c>
    </row>
    <row r="5" spans="1:3">
      <c r="A5" s="68">
        <v>2</v>
      </c>
      <c r="B5" s="68" t="s">
        <v>104</v>
      </c>
      <c r="C5" s="69">
        <v>20</v>
      </c>
    </row>
    <row r="6" spans="1:3">
      <c r="A6" s="68">
        <v>3</v>
      </c>
      <c r="B6" s="68"/>
      <c r="C6" s="69"/>
    </row>
    <row r="7" spans="1:3">
      <c r="A7" s="68">
        <v>4</v>
      </c>
      <c r="B7" s="68"/>
      <c r="C7" s="69"/>
    </row>
    <row r="8" spans="1:3">
      <c r="A8" s="68">
        <v>5</v>
      </c>
      <c r="B8" s="68"/>
      <c r="C8" s="69"/>
    </row>
    <row r="9" spans="1:3">
      <c r="A9" s="68">
        <v>6</v>
      </c>
      <c r="B9" s="68"/>
      <c r="C9" s="69"/>
    </row>
    <row r="10" spans="1:3">
      <c r="A10" s="68">
        <v>7</v>
      </c>
      <c r="B10" s="68"/>
      <c r="C10" s="69"/>
    </row>
    <row r="11" spans="1:3">
      <c r="A11" s="68">
        <v>8</v>
      </c>
      <c r="B11" s="70"/>
      <c r="C11" s="69"/>
    </row>
    <row r="12" spans="1:3">
      <c r="A12" s="68">
        <v>9</v>
      </c>
      <c r="B12" s="71"/>
      <c r="C12" s="69"/>
    </row>
    <row r="13" spans="1:3">
      <c r="A13" s="68">
        <v>10</v>
      </c>
      <c r="B13" s="71"/>
      <c r="C13" s="69"/>
    </row>
    <row r="14" spans="1:3" ht="15.75">
      <c r="A14" s="116"/>
      <c r="B14" s="117" t="s">
        <v>105</v>
      </c>
      <c r="C14" s="72">
        <f>SUM(C4:C13)</f>
        <v>120</v>
      </c>
    </row>
  </sheetData>
  <mergeCells count="3">
    <mergeCell ref="A1:C1"/>
    <mergeCell ref="A2:C2"/>
    <mergeCell ref="A14:B14"/>
  </mergeCells>
  <pageMargins left="0.7" right="0.7" top="0.75" bottom="0.75" header="0.3" footer="0.3"/>
  <pageSetup paperSize="9" orientation="portrait" r:id="rId1"/>
  <headerFooter>
    <oddHeader>&amp;LWQMS/PAL/PMG/EP/T/1.0&amp;RComplexity Point Estimation Method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zoomScaleNormal="100" workbookViewId="0">
      <selection activeCell="F9" sqref="F9"/>
    </sheetView>
  </sheetViews>
  <sheetFormatPr defaultRowHeight="15"/>
  <cols>
    <col min="1" max="1" width="9.140625" style="54"/>
    <col min="2" max="2" width="16.140625" style="54" customWidth="1"/>
    <col min="3" max="4" width="16.28515625" style="54" customWidth="1"/>
    <col min="5" max="5" width="12.5703125" style="54" customWidth="1"/>
    <col min="6" max="6" width="25.42578125" style="54" customWidth="1"/>
    <col min="7" max="16384" width="9.140625" style="54"/>
  </cols>
  <sheetData>
    <row r="1" spans="1:7" ht="27.75" customHeight="1" thickBot="1">
      <c r="A1" s="103" t="s">
        <v>106</v>
      </c>
      <c r="B1" s="105"/>
      <c r="C1" s="105"/>
      <c r="D1" s="105"/>
      <c r="E1" s="105"/>
      <c r="F1" s="105"/>
      <c r="G1" s="104"/>
    </row>
    <row r="2" spans="1:7">
      <c r="A2" s="77" t="s">
        <v>107</v>
      </c>
      <c r="B2" s="77"/>
      <c r="C2" s="77"/>
      <c r="D2" s="77"/>
      <c r="E2" s="77"/>
      <c r="F2" s="77" t="s">
        <v>108</v>
      </c>
      <c r="G2" s="77"/>
    </row>
    <row r="3" spans="1:7" ht="30">
      <c r="A3" s="58" t="s">
        <v>109</v>
      </c>
      <c r="B3" s="58" t="s">
        <v>110</v>
      </c>
      <c r="C3" s="58" t="s">
        <v>111</v>
      </c>
      <c r="D3" s="62" t="s">
        <v>112</v>
      </c>
      <c r="E3" s="62" t="s">
        <v>113</v>
      </c>
      <c r="F3" s="58" t="s">
        <v>114</v>
      </c>
      <c r="G3" s="62" t="s">
        <v>115</v>
      </c>
    </row>
    <row r="4" spans="1:7">
      <c r="A4" s="132" t="s">
        <v>116</v>
      </c>
      <c r="B4" s="133">
        <v>100</v>
      </c>
      <c r="C4" s="134" t="s">
        <v>117</v>
      </c>
      <c r="D4" s="133">
        <v>25</v>
      </c>
      <c r="E4" s="63">
        <f>D4*$B4</f>
        <v>2500</v>
      </c>
      <c r="F4" s="61" t="s">
        <v>118</v>
      </c>
      <c r="G4" s="61"/>
    </row>
    <row r="5" spans="1:7">
      <c r="A5" s="132" t="s">
        <v>119</v>
      </c>
      <c r="B5" s="133">
        <v>80</v>
      </c>
      <c r="C5" s="134" t="s">
        <v>120</v>
      </c>
      <c r="D5" s="133">
        <v>20</v>
      </c>
      <c r="E5" s="63">
        <f t="shared" ref="E5:E11" si="0">D5*$B5</f>
        <v>1600</v>
      </c>
      <c r="F5" s="61" t="s">
        <v>121</v>
      </c>
      <c r="G5" s="61"/>
    </row>
    <row r="6" spans="1:7">
      <c r="A6" s="132" t="s">
        <v>116</v>
      </c>
      <c r="B6" s="133">
        <v>50</v>
      </c>
      <c r="C6" s="134" t="s">
        <v>122</v>
      </c>
      <c r="D6" s="133">
        <v>20</v>
      </c>
      <c r="E6" s="63">
        <f t="shared" si="0"/>
        <v>1000</v>
      </c>
      <c r="F6" s="61" t="s">
        <v>123</v>
      </c>
      <c r="G6" s="61"/>
    </row>
    <row r="7" spans="1:7">
      <c r="A7" s="132" t="s">
        <v>124</v>
      </c>
      <c r="B7" s="133">
        <v>50</v>
      </c>
      <c r="C7" s="134" t="s">
        <v>125</v>
      </c>
      <c r="D7" s="133">
        <v>20</v>
      </c>
      <c r="E7" s="63">
        <f t="shared" si="0"/>
        <v>1000</v>
      </c>
      <c r="F7" s="61" t="s">
        <v>126</v>
      </c>
      <c r="G7" s="61"/>
    </row>
    <row r="8" spans="1:7">
      <c r="A8" s="132"/>
      <c r="B8" s="133"/>
      <c r="C8" s="134"/>
      <c r="D8" s="133"/>
      <c r="E8" s="63">
        <f t="shared" si="0"/>
        <v>0</v>
      </c>
      <c r="F8" s="61" t="s">
        <v>127</v>
      </c>
      <c r="G8" s="61"/>
    </row>
    <row r="9" spans="1:7">
      <c r="A9" s="132"/>
      <c r="B9" s="133"/>
      <c r="C9" s="134"/>
      <c r="D9" s="133"/>
      <c r="E9" s="63">
        <f t="shared" si="0"/>
        <v>0</v>
      </c>
      <c r="F9" s="61" t="s">
        <v>118</v>
      </c>
      <c r="G9" s="61"/>
    </row>
    <row r="10" spans="1:7">
      <c r="A10" s="132"/>
      <c r="B10" s="133"/>
      <c r="C10" s="134"/>
      <c r="D10" s="133"/>
      <c r="E10" s="63">
        <f t="shared" si="0"/>
        <v>0</v>
      </c>
      <c r="F10" s="61" t="s">
        <v>128</v>
      </c>
      <c r="G10" s="61"/>
    </row>
    <row r="11" spans="1:7">
      <c r="A11" s="132"/>
      <c r="B11" s="133"/>
      <c r="C11" s="134"/>
      <c r="D11" s="133"/>
      <c r="E11" s="63">
        <f t="shared" si="0"/>
        <v>0</v>
      </c>
      <c r="F11" s="132"/>
      <c r="G11" s="61"/>
    </row>
    <row r="12" spans="1:7" ht="15.75" thickBot="1">
      <c r="A12" s="118" t="s">
        <v>129</v>
      </c>
      <c r="B12" s="119"/>
      <c r="C12" s="119"/>
      <c r="D12" s="120"/>
      <c r="E12" s="64">
        <f>SUM(E4:E11)</f>
        <v>6100</v>
      </c>
      <c r="F12" s="65" t="s">
        <v>130</v>
      </c>
      <c r="G12" s="64">
        <f>SUM(G4:G11)</f>
        <v>0</v>
      </c>
    </row>
    <row r="13" spans="1:7">
      <c r="A13" s="121" t="s">
        <v>131</v>
      </c>
      <c r="B13" s="122"/>
      <c r="C13" s="122"/>
      <c r="D13" s="122"/>
      <c r="E13" s="123"/>
      <c r="F13" s="127">
        <f>E12+G12</f>
        <v>6100</v>
      </c>
      <c r="G13" s="128"/>
    </row>
    <row r="14" spans="1:7" ht="15.75" thickBot="1">
      <c r="A14" s="124"/>
      <c r="B14" s="125"/>
      <c r="C14" s="125"/>
      <c r="D14" s="125"/>
      <c r="E14" s="126"/>
      <c r="F14" s="129"/>
      <c r="G14" s="130"/>
    </row>
  </sheetData>
  <mergeCells count="6">
    <mergeCell ref="A12:D12"/>
    <mergeCell ref="F2:G2"/>
    <mergeCell ref="A1:G1"/>
    <mergeCell ref="A13:E14"/>
    <mergeCell ref="F13:G14"/>
    <mergeCell ref="A2:E2"/>
  </mergeCells>
  <dataValidations count="4">
    <dataValidation type="list" errorStyle="warning" allowBlank="1" showInputMessage="1" showErrorMessage="1" sqref="A4:A11" xr:uid="{00000000-0002-0000-0600-000000000000}">
      <formula1>"Onsite, Offshore, Off-on"</formula1>
    </dataValidation>
    <dataValidation type="list" allowBlank="1" showInputMessage="1" showErrorMessage="1" sqref="C4:C11" xr:uid="{00000000-0002-0000-0600-000001000000}">
      <formula1>"PM, FC, BA, TC, Dev"</formula1>
    </dataValidation>
    <dataValidation errorStyle="warning" allowBlank="1" showInputMessage="1" showErrorMessage="1" sqref="F11" xr:uid="{00000000-0002-0000-0600-000002000000}"/>
    <dataValidation errorStyle="information" allowBlank="1" showInputMessage="1" showErrorMessage="1" sqref="F4:F10" xr:uid="{00000000-0002-0000-0600-000003000000}"/>
  </dataValidations>
  <pageMargins left="0.7" right="0.7" top="0.75" bottom="0.75" header="0.3" footer="0.3"/>
  <pageSetup paperSize="9" orientation="portrait" r:id="rId1"/>
  <headerFooter>
    <oddHeader>&amp;LEMT&amp;CEstimation Method&amp;RVer 1.0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F8"/>
  <sheetViews>
    <sheetView tabSelected="1" workbookViewId="0">
      <selection activeCell="F16" sqref="F16"/>
    </sheetView>
  </sheetViews>
  <sheetFormatPr defaultRowHeight="15"/>
  <cols>
    <col min="4" max="4" width="23.140625" customWidth="1"/>
    <col min="5" max="5" width="33.28515625" customWidth="1"/>
    <col min="6" max="6" width="24.7109375" customWidth="1"/>
  </cols>
  <sheetData>
    <row r="3" spans="2:6">
      <c r="B3" s="131" t="s">
        <v>19</v>
      </c>
      <c r="C3" s="131"/>
    </row>
    <row r="4" spans="2:6" ht="15.75" thickBot="1">
      <c r="B4" s="17"/>
    </row>
    <row r="5" spans="2:6" ht="30.75" thickBot="1">
      <c r="B5" s="18" t="s">
        <v>132</v>
      </c>
      <c r="C5" s="19" t="s">
        <v>133</v>
      </c>
      <c r="D5" s="19" t="s">
        <v>134</v>
      </c>
      <c r="E5" s="19" t="s">
        <v>135</v>
      </c>
      <c r="F5" s="19" t="s">
        <v>28</v>
      </c>
    </row>
    <row r="6" spans="2:6" ht="15.75" thickBot="1">
      <c r="B6" s="20"/>
      <c r="C6" s="21"/>
      <c r="D6" s="21"/>
      <c r="E6" s="21"/>
      <c r="F6" s="21"/>
    </row>
    <row r="7" spans="2:6" ht="15.75" thickBot="1">
      <c r="B7" s="20"/>
      <c r="C7" s="21"/>
      <c r="D7" s="21"/>
      <c r="E7" s="21"/>
      <c r="F7" s="21"/>
    </row>
    <row r="8" spans="2:6" ht="15.75" thickBot="1">
      <c r="B8" s="20"/>
      <c r="C8" s="21"/>
      <c r="D8" s="21"/>
      <c r="E8" s="21"/>
      <c r="F8" s="21"/>
    </row>
  </sheetData>
  <mergeCells count="1">
    <mergeCell ref="B3:C3"/>
  </mergeCells>
  <pageMargins left="0.7" right="0.7" top="0.75" bottom="0.75" header="0.3" footer="0.3"/>
  <pageSetup paperSize="9" orientation="portrait" r:id="rId1"/>
  <headerFooter>
    <oddHeader>&amp;LEMT&amp;CEstimation Method&amp;RVer 1.0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2006-09-16T00:00:00Z</dcterms:created>
  <dcterms:modified xsi:type="dcterms:W3CDTF">2021-08-10T05:45:27Z</dcterms:modified>
  <cp:category/>
  <cp:contentStatus/>
</cp:coreProperties>
</file>