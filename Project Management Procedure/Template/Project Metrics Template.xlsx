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TL\Downloads\"/>
    </mc:Choice>
  </mc:AlternateContent>
  <bookViews>
    <workbookView xWindow="0" yWindow="0" windowWidth="19200" windowHeight="8440" tabRatio="860" activeTab="1"/>
  </bookViews>
  <sheets>
    <sheet name="Revision History" sheetId="14" r:id="rId1"/>
    <sheet name="Effort Variance (EV)" sheetId="4" r:id="rId2"/>
    <sheet name="Defect Removal Effeciency (DRE)" sheetId="2" r:id="rId3"/>
    <sheet name="Defect Rate" sheetId="3" r:id="rId4"/>
    <sheet name="Design Review Efficiency" sheetId="9" r:id="rId5"/>
    <sheet name="Code Review Efficiency" sheetId="10" r:id="rId6"/>
    <sheet name="Review Effort %" sheetId="11" r:id="rId7"/>
    <sheet name="Req analysis &amp; SRS doc Effort%" sheetId="8" r:id="rId8"/>
    <sheet name="Design Integration with App %" sheetId="12" r:id="rId9"/>
    <sheet name="Review Effectiveness" sheetId="13" r:id="rId10"/>
    <sheet name="Testing Efficiency" sheetId="7" r:id="rId1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7" l="1"/>
  <c r="C9" i="13"/>
  <c r="C6" i="12"/>
  <c r="C6" i="8"/>
  <c r="C9" i="11"/>
  <c r="C6" i="10"/>
  <c r="C6" i="9"/>
  <c r="E16" i="3"/>
  <c r="E13" i="3"/>
  <c r="E14" i="3"/>
  <c r="E15" i="3"/>
  <c r="E12" i="3"/>
  <c r="C23" i="2"/>
  <c r="AL15" i="4"/>
  <c r="AL16" i="4"/>
  <c r="AL17" i="4"/>
  <c r="AL18" i="4"/>
  <c r="AL19" i="4"/>
  <c r="AL20" i="4"/>
  <c r="AL21" i="4"/>
  <c r="AL14" i="4"/>
  <c r="AI15" i="4"/>
  <c r="AI16" i="4"/>
  <c r="AI17" i="4"/>
  <c r="AI18" i="4"/>
  <c r="AI19" i="4"/>
  <c r="AI20" i="4"/>
  <c r="AI21" i="4"/>
  <c r="AI14" i="4"/>
  <c r="AF15" i="4"/>
  <c r="AF16" i="4"/>
  <c r="AF17" i="4"/>
  <c r="AF18" i="4"/>
  <c r="AF19" i="4"/>
  <c r="AF20" i="4"/>
  <c r="AF21" i="4"/>
  <c r="AF14" i="4"/>
  <c r="AC15" i="4"/>
  <c r="AC16" i="4"/>
  <c r="AC17" i="4"/>
  <c r="AC18" i="4"/>
  <c r="AC19" i="4"/>
  <c r="AC20" i="4"/>
  <c r="AC21" i="4"/>
  <c r="AC14" i="4"/>
  <c r="Z15" i="4"/>
  <c r="Z16" i="4"/>
  <c r="Z17" i="4"/>
  <c r="Z18" i="4"/>
  <c r="Z19" i="4"/>
  <c r="Z20" i="4"/>
  <c r="Z21" i="4"/>
  <c r="Z14" i="4"/>
  <c r="W15" i="4"/>
  <c r="W16" i="4"/>
  <c r="W17" i="4"/>
  <c r="W18" i="4"/>
  <c r="W19" i="4"/>
  <c r="W20" i="4"/>
  <c r="W21" i="4"/>
  <c r="W14" i="4"/>
  <c r="T15" i="4"/>
  <c r="T16" i="4"/>
  <c r="T17" i="4"/>
  <c r="T18" i="4"/>
  <c r="T19" i="4"/>
  <c r="T20" i="4"/>
  <c r="T21" i="4"/>
  <c r="T14" i="4"/>
  <c r="Q15" i="4"/>
  <c r="Q16" i="4"/>
  <c r="Q17" i="4"/>
  <c r="Q18" i="4"/>
  <c r="Q19" i="4"/>
  <c r="Q20" i="4"/>
  <c r="Q21" i="4"/>
  <c r="Q14" i="4"/>
  <c r="N15" i="4"/>
  <c r="N16" i="4"/>
  <c r="N17" i="4"/>
  <c r="N18" i="4"/>
  <c r="N19" i="4"/>
  <c r="N20" i="4"/>
  <c r="N21" i="4"/>
  <c r="N14" i="4"/>
  <c r="K15" i="4"/>
  <c r="K16" i="4"/>
  <c r="K17" i="4"/>
  <c r="K18" i="4"/>
  <c r="K19" i="4"/>
  <c r="K20" i="4"/>
  <c r="K21" i="4"/>
  <c r="K14" i="4"/>
  <c r="H15" i="4"/>
  <c r="H16" i="4"/>
  <c r="H17" i="4"/>
  <c r="H18" i="4"/>
  <c r="H19" i="4"/>
  <c r="H20" i="4"/>
  <c r="H21" i="4"/>
  <c r="E22" i="4"/>
  <c r="E15" i="4"/>
  <c r="E16" i="4"/>
  <c r="E17" i="4"/>
  <c r="E18" i="4"/>
  <c r="E19" i="4"/>
  <c r="E20" i="4"/>
  <c r="E21" i="4"/>
  <c r="E14" i="4"/>
  <c r="H14" i="4"/>
  <c r="C6" i="3" l="1"/>
  <c r="C5" i="3"/>
  <c r="C4" i="3"/>
  <c r="C3" i="3"/>
  <c r="C4" i="2"/>
  <c r="C5" i="2"/>
  <c r="C6" i="2"/>
  <c r="C3" i="2"/>
  <c r="AK22" i="4"/>
  <c r="AJ22" i="4"/>
  <c r="AH22" i="4"/>
  <c r="AI22" i="4" s="1"/>
  <c r="AG22" i="4"/>
  <c r="AE22" i="4"/>
  <c r="AD22" i="4"/>
  <c r="C22" i="4"/>
  <c r="D22" i="4"/>
  <c r="F22" i="4"/>
  <c r="G22" i="4"/>
  <c r="H22" i="4" s="1"/>
  <c r="AL22" i="4" l="1"/>
  <c r="AF22" i="4"/>
  <c r="D16" i="3" l="1"/>
  <c r="AB22" i="4"/>
  <c r="AC22" i="4" s="1"/>
  <c r="AA22" i="4"/>
  <c r="Y22" i="4"/>
  <c r="Z22" i="4" s="1"/>
  <c r="X22" i="4"/>
  <c r="C16" i="3" l="1"/>
  <c r="O22" i="4" l="1"/>
  <c r="V22" i="4" l="1"/>
  <c r="U22" i="4" l="1"/>
  <c r="W22" i="4" s="1"/>
  <c r="R22" i="4"/>
  <c r="S22" i="4"/>
  <c r="P22" i="4"/>
  <c r="Q22" i="4" s="1"/>
  <c r="T22" i="4" l="1"/>
  <c r="M22" i="4"/>
  <c r="N22" i="4" s="1"/>
  <c r="L22" i="4"/>
  <c r="J22" i="4"/>
  <c r="K22" i="4" s="1"/>
  <c r="I22" i="4"/>
</calcChain>
</file>

<file path=xl/sharedStrings.xml><?xml version="1.0" encoding="utf-8"?>
<sst xmlns="http://schemas.openxmlformats.org/spreadsheetml/2006/main" count="197" uniqueCount="95">
  <si>
    <t>Sr. No.</t>
  </si>
  <si>
    <t>Internal SRS Review Defects</t>
  </si>
  <si>
    <t>Internal Design Review Defects</t>
  </si>
  <si>
    <t>Internal code review Defects</t>
  </si>
  <si>
    <t>Internal UTC review Defects</t>
  </si>
  <si>
    <t>Internal QC Test Case Defects</t>
  </si>
  <si>
    <t>UT Defects</t>
  </si>
  <si>
    <t>QC Defects</t>
  </si>
  <si>
    <t>Demo Defects</t>
  </si>
  <si>
    <t>UAT Defects</t>
  </si>
  <si>
    <t>STQC Defects</t>
  </si>
  <si>
    <t>Activity</t>
  </si>
  <si>
    <t>DRE</t>
  </si>
  <si>
    <t>Milestone Name</t>
  </si>
  <si>
    <t>Planned Efforts (Hours)</t>
  </si>
  <si>
    <t>Actual Efforts (Hours)</t>
  </si>
  <si>
    <t>Project Name</t>
  </si>
  <si>
    <t>Effort Variance</t>
  </si>
  <si>
    <t xml:space="preserve">Effort 
Variance (%)
</t>
  </si>
  <si>
    <t>Total</t>
  </si>
  <si>
    <t>Metrics Deviation analysis</t>
  </si>
  <si>
    <t>Month</t>
  </si>
  <si>
    <t>Metrics Deviation</t>
  </si>
  <si>
    <t>Root Cause</t>
  </si>
  <si>
    <t>Action Item</t>
  </si>
  <si>
    <t>Defect Rate is &gt; 80 % so not corrective action is require</t>
  </si>
  <si>
    <t>Testing</t>
  </si>
  <si>
    <t>Requirement</t>
  </si>
  <si>
    <t>Defect rate</t>
  </si>
  <si>
    <t>Total Effort</t>
  </si>
  <si>
    <t>Total Defects</t>
  </si>
  <si>
    <t>Project Initiation</t>
  </si>
  <si>
    <t>SRS &amp; Home Page Sign Off</t>
  </si>
  <si>
    <t>Testing &amp; Data Upload</t>
  </si>
  <si>
    <t>UAT &amp; Security Audit</t>
  </si>
  <si>
    <t>Go-Live &amp; Project Closure</t>
  </si>
  <si>
    <t>Design &amp; Development</t>
  </si>
  <si>
    <t xml:space="preserve">Effort Variance (%)
</t>
  </si>
  <si>
    <t>Project Planning &amp; Monitoring</t>
  </si>
  <si>
    <t>Change Management</t>
  </si>
  <si>
    <t>Cert-in Defects</t>
  </si>
  <si>
    <t>UAT</t>
  </si>
  <si>
    <t xml:space="preserve">Testing Efficiency </t>
  </si>
  <si>
    <t>Security Audit Defects</t>
  </si>
  <si>
    <t>Milestone</t>
  </si>
  <si>
    <r>
      <rPr>
        <b/>
        <sz val="11"/>
        <color theme="1"/>
        <rFont val="Calibri"/>
        <family val="2"/>
        <scheme val="minor"/>
      </rPr>
      <t>Target :</t>
    </r>
    <r>
      <rPr>
        <sz val="11"/>
        <color theme="1"/>
        <rFont val="Calibri"/>
        <family val="2"/>
        <scheme val="minor"/>
      </rPr>
      <t xml:space="preserve"> 70% - 100%</t>
    </r>
  </si>
  <si>
    <t>SRS Review Defects</t>
  </si>
  <si>
    <t>Design Review Defects</t>
  </si>
  <si>
    <t>Code Review Defects</t>
  </si>
  <si>
    <t>Unit Testing Defects</t>
  </si>
  <si>
    <t>Review Effectiveness</t>
  </si>
  <si>
    <t>QC Testing Defects</t>
  </si>
  <si>
    <r>
      <rPr>
        <b/>
        <sz val="11"/>
        <color theme="1"/>
        <rFont val="Calibri"/>
        <family val="2"/>
        <scheme val="minor"/>
      </rPr>
      <t>Target :</t>
    </r>
    <r>
      <rPr>
        <sz val="11"/>
        <color theme="1"/>
        <rFont val="Calibri"/>
        <family val="2"/>
        <scheme val="minor"/>
      </rPr>
      <t xml:space="preserve"> 50% - 70%</t>
    </r>
  </si>
  <si>
    <t>Requirement Analysis &amp; SRS Documentation Effort %</t>
  </si>
  <si>
    <r>
      <rPr>
        <b/>
        <sz val="11"/>
        <color theme="1"/>
        <rFont val="Calibri"/>
        <family val="2"/>
        <scheme val="minor"/>
      </rPr>
      <t>Target :</t>
    </r>
    <r>
      <rPr>
        <sz val="11"/>
        <color theme="1"/>
        <rFont val="Calibri"/>
        <family val="2"/>
        <scheme val="minor"/>
      </rPr>
      <t xml:space="preserve"> 34.73% - 60.31%</t>
    </r>
  </si>
  <si>
    <t>Design Review Efficiency</t>
  </si>
  <si>
    <r>
      <rPr>
        <b/>
        <sz val="11"/>
        <color theme="1"/>
        <rFont val="Calibri"/>
        <family val="2"/>
        <scheme val="minor"/>
      </rPr>
      <t>Target :</t>
    </r>
    <r>
      <rPr>
        <sz val="11"/>
        <color theme="1"/>
        <rFont val="Calibri"/>
        <family val="2"/>
        <scheme val="minor"/>
      </rPr>
      <t xml:space="preserve"> 0.536 - 1.398</t>
    </r>
  </si>
  <si>
    <r>
      <rPr>
        <b/>
        <sz val="11"/>
        <color theme="1"/>
        <rFont val="Calibri"/>
        <family val="2"/>
        <scheme val="minor"/>
      </rPr>
      <t>Target :</t>
    </r>
    <r>
      <rPr>
        <sz val="11"/>
        <color theme="1"/>
        <rFont val="Calibri"/>
        <family val="2"/>
        <scheme val="minor"/>
      </rPr>
      <t xml:space="preserve"> 0.040 - 0.139</t>
    </r>
  </si>
  <si>
    <t>Code Review Efficiency</t>
  </si>
  <si>
    <r>
      <rPr>
        <b/>
        <sz val="11"/>
        <color theme="1"/>
        <rFont val="Calibri"/>
        <family val="2"/>
        <scheme val="minor"/>
      </rPr>
      <t>Target :</t>
    </r>
    <r>
      <rPr>
        <sz val="11"/>
        <color theme="1"/>
        <rFont val="Calibri"/>
        <family val="2"/>
        <scheme val="minor"/>
      </rPr>
      <t xml:space="preserve"> 1.10% - 8.74%</t>
    </r>
  </si>
  <si>
    <t>Review Effort %</t>
  </si>
  <si>
    <t>Design Integration with Application Effort %</t>
  </si>
  <si>
    <r>
      <rPr>
        <b/>
        <sz val="11"/>
        <color theme="1"/>
        <rFont val="Calibri"/>
        <family val="2"/>
        <scheme val="minor"/>
      </rPr>
      <t>Target :</t>
    </r>
    <r>
      <rPr>
        <sz val="11"/>
        <color theme="1"/>
        <rFont val="Calibri"/>
        <family val="2"/>
        <scheme val="minor"/>
      </rPr>
      <t xml:space="preserve"> 5.04% - 15.99%</t>
    </r>
  </si>
  <si>
    <t>SRS Review Efforts</t>
  </si>
  <si>
    <t>Design Review Efforts</t>
  </si>
  <si>
    <t>Code Review Efforts</t>
  </si>
  <si>
    <t>Test Case &amp; Test Plan Review Efforts</t>
  </si>
  <si>
    <t>Actual Efforts</t>
  </si>
  <si>
    <t>Design &amp; Development Phase Effort</t>
  </si>
  <si>
    <t>Design Integration with Application Effort</t>
  </si>
  <si>
    <t>Total Requirement Phase Effort</t>
  </si>
  <si>
    <t>Req Analysis &amp; SRS Documentation Effort</t>
  </si>
  <si>
    <t>Project Code</t>
  </si>
  <si>
    <t>&lt;&gt;</t>
  </si>
  <si>
    <t>Project Manager</t>
  </si>
  <si>
    <t>Last Udated Date</t>
  </si>
  <si>
    <t>Project Metrics Sheet</t>
  </si>
  <si>
    <t>Deviating Milestone Name</t>
  </si>
  <si>
    <t>Defect Removal Efficiency</t>
  </si>
  <si>
    <t>Count of Defects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</si>
  <si>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</si>
  <si>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</si>
  <si>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</si>
  <si>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</si>
  <si>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</si>
  <si>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</si>
  <si>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</si>
  <si>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</si>
  <si>
    <t>v1.0</t>
  </si>
  <si>
    <t>Prabhakar</t>
  </si>
  <si>
    <t>Manish Singla</t>
  </si>
  <si>
    <r>
      <t xml:space="preserve">Target for Effort Variance: </t>
    </r>
    <r>
      <rPr>
        <b/>
        <u/>
        <sz val="10"/>
        <color theme="1"/>
        <rFont val="Cambria"/>
        <family val="1"/>
      </rPr>
      <t>-28.76% to 32.98%</t>
    </r>
    <r>
      <rPr>
        <sz val="10"/>
        <color theme="1"/>
        <rFont val="Cambria"/>
        <family val="1"/>
      </rPr>
      <t xml:space="preserve"> of planned effort</t>
    </r>
  </si>
  <si>
    <r>
      <t xml:space="preserve">Target for Defect Rate: </t>
    </r>
    <r>
      <rPr>
        <b/>
        <u/>
        <sz val="10"/>
        <color theme="1"/>
        <rFont val="Cambria"/>
        <family val="1"/>
      </rPr>
      <t>0.013 to 0.049</t>
    </r>
  </si>
  <si>
    <t>1. New project metrics template
2. Formatting done, made it uniformed
3. Added RCA section to each sheets
4. Added targets of each metrics
5. Locked the formulated fields</t>
  </si>
  <si>
    <r>
      <rPr>
        <b/>
        <sz val="10"/>
        <color theme="1"/>
        <rFont val="Calibri"/>
        <family val="2"/>
        <scheme val="minor"/>
      </rPr>
      <t>Note:</t>
    </r>
    <r>
      <rPr>
        <sz val="10"/>
        <color theme="1"/>
        <rFont val="Calibri"/>
        <family val="2"/>
        <scheme val="minor"/>
      </rPr>
      <t xml:space="preserve"> Please fill the details in white cells only. Colored cells are formulated and protected, it'll be autofilled.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</si>
</sst>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[$-409]d\-mmm\-yy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  <font>
      <b/>
      <u/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101">
    <xf numFmtId="0" fontId="0" fillId="0" borderId="0" xfId="0"/>
    <xf numFmtId="0" fontId="6" fillId="0" borderId="0" xfId="2" applyFont="1" applyAlignment="1">
      <alignment horizontal="justify"/>
    </xf>
    <xf numFmtId="0" fontId="5" fillId="0" borderId="0" xfId="2"/>
    <xf numFmtId="0" fontId="7" fillId="11" borderId="1" xfId="2" applyFont="1" applyFill="1" applyBorder="1" applyAlignment="1">
      <alignment horizontal="center" vertical="top" wrapText="1"/>
    </xf>
    <xf numFmtId="165" fontId="8" fillId="0" borderId="1" xfId="2" applyNumberFormat="1" applyFont="1" applyBorder="1" applyAlignment="1">
      <alignment horizontal="center" vertical="top" wrapText="1"/>
    </xf>
    <xf numFmtId="166" fontId="8" fillId="0" borderId="1" xfId="2" applyNumberFormat="1" applyFont="1" applyBorder="1" applyAlignment="1">
      <alignment horizontal="center" vertical="top" wrapText="1"/>
    </xf>
    <xf numFmtId="0" fontId="8" fillId="0" borderId="1" xfId="2" applyFont="1" applyBorder="1" applyAlignment="1">
      <alignment horizontal="justify" vertical="top" wrapText="1"/>
    </xf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3" fillId="0" borderId="1" xfId="0" applyFont="1" applyBorder="1" applyAlignment="1" applyProtection="1">
      <alignment vertical="top"/>
      <protection locked="0"/>
    </xf>
    <xf numFmtId="0" fontId="3" fillId="2" borderId="1" xfId="0" applyFont="1" applyFill="1" applyBorder="1" applyAlignment="1" applyProtection="1">
      <alignment vertical="top" wrapText="1"/>
      <protection locked="0"/>
    </xf>
    <xf numFmtId="0" fontId="4" fillId="0" borderId="0" xfId="0" applyFont="1" applyAlignment="1" applyProtection="1">
      <alignment vertical="top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top" wrapText="1"/>
      <protection locked="0"/>
    </xf>
    <xf numFmtId="0" fontId="4" fillId="0" borderId="1" xfId="0" applyFont="1" applyBorder="1" applyAlignment="1" applyProtection="1">
      <alignment horizontal="center" vertical="top"/>
      <protection locked="0"/>
    </xf>
    <xf numFmtId="0" fontId="4" fillId="0" borderId="0" xfId="0" applyFont="1" applyProtection="1">
      <protection locked="0"/>
    </xf>
    <xf numFmtId="0" fontId="3" fillId="3" borderId="1" xfId="0" applyFont="1" applyFill="1" applyBorder="1" applyAlignment="1" applyProtection="1">
      <alignment horizontal="left"/>
      <protection locked="0"/>
    </xf>
    <xf numFmtId="0" fontId="3" fillId="3" borderId="1" xfId="0" applyFont="1" applyFill="1" applyBorder="1" applyProtection="1">
      <protection locked="0"/>
    </xf>
    <xf numFmtId="0" fontId="10" fillId="0" borderId="0" xfId="0" applyFont="1" applyProtection="1">
      <protection locked="0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4" fillId="0" borderId="0" xfId="0" applyFont="1" applyBorder="1" applyProtection="1">
      <protection locked="0"/>
    </xf>
    <xf numFmtId="0" fontId="4" fillId="0" borderId="0" xfId="0" applyFont="1" applyBorder="1" applyAlignment="1" applyProtection="1">
      <alignment wrapText="1"/>
      <protection locked="0"/>
    </xf>
    <xf numFmtId="10" fontId="4" fillId="0" borderId="0" xfId="0" applyNumberFormat="1" applyFont="1" applyBorder="1" applyAlignment="1" applyProtection="1">
      <alignment wrapText="1"/>
      <protection locked="0"/>
    </xf>
    <xf numFmtId="17" fontId="4" fillId="0" borderId="0" xfId="0" applyNumberFormat="1" applyFont="1" applyBorder="1" applyProtection="1">
      <protection locked="0"/>
    </xf>
    <xf numFmtId="0" fontId="3" fillId="0" borderId="0" xfId="0" applyFont="1" applyFill="1" applyBorder="1" applyProtection="1">
      <protection locked="0"/>
    </xf>
    <xf numFmtId="16" fontId="3" fillId="4" borderId="1" xfId="0" applyNumberFormat="1" applyFont="1" applyFill="1" applyBorder="1" applyAlignment="1" applyProtection="1">
      <alignment horizontal="center" vertical="top"/>
      <protection locked="0"/>
    </xf>
    <xf numFmtId="0" fontId="3" fillId="4" borderId="1" xfId="0" applyFont="1" applyFill="1" applyBorder="1" applyAlignment="1" applyProtection="1">
      <alignment horizontal="center" vertical="top" wrapText="1"/>
      <protection locked="0"/>
    </xf>
    <xf numFmtId="17" fontId="4" fillId="0" borderId="1" xfId="0" applyNumberFormat="1" applyFont="1" applyBorder="1" applyAlignment="1" applyProtection="1">
      <alignment horizontal="left" vertical="top"/>
      <protection locked="0"/>
    </xf>
    <xf numFmtId="0" fontId="4" fillId="0" borderId="1" xfId="0" applyFont="1" applyBorder="1" applyAlignment="1" applyProtection="1">
      <alignment vertical="top" wrapText="1"/>
      <protection locked="0"/>
    </xf>
    <xf numFmtId="10" fontId="4" fillId="10" borderId="1" xfId="0" applyNumberFormat="1" applyFont="1" applyFill="1" applyBorder="1" applyAlignment="1" applyProtection="1">
      <alignment horizontal="center" vertical="center"/>
    </xf>
    <xf numFmtId="0" fontId="3" fillId="6" borderId="1" xfId="0" applyFont="1" applyFill="1" applyBorder="1" applyAlignment="1" applyProtection="1">
      <alignment horizontal="center" vertical="center" wrapText="1"/>
    </xf>
    <xf numFmtId="10" fontId="3" fillId="6" borderId="1" xfId="0" applyNumberFormat="1" applyFont="1" applyFill="1" applyBorder="1" applyAlignment="1" applyProtection="1">
      <alignment horizontal="center" vertical="center" wrapText="1"/>
    </xf>
    <xf numFmtId="0" fontId="3" fillId="6" borderId="1" xfId="0" applyFont="1" applyFill="1" applyBorder="1" applyAlignment="1" applyProtection="1">
      <alignment horizontal="center" wrapText="1"/>
    </xf>
    <xf numFmtId="0" fontId="9" fillId="0" borderId="0" xfId="0" applyFont="1" applyAlignment="1" applyProtection="1">
      <alignment horizontal="center"/>
      <protection locked="0"/>
    </xf>
    <xf numFmtId="0" fontId="11" fillId="4" borderId="1" xfId="0" applyFont="1" applyFill="1" applyBorder="1" applyAlignment="1" applyProtection="1">
      <alignment horizontal="center"/>
      <protection locked="0"/>
    </xf>
    <xf numFmtId="0" fontId="11" fillId="4" borderId="1" xfId="0" applyFont="1" applyFill="1" applyBorder="1" applyProtection="1">
      <protection locked="0"/>
    </xf>
    <xf numFmtId="0" fontId="10" fillId="2" borderId="1" xfId="0" applyFont="1" applyFill="1" applyBorder="1" applyAlignment="1" applyProtection="1">
      <alignment horizontal="center"/>
      <protection locked="0"/>
    </xf>
    <xf numFmtId="0" fontId="10" fillId="2" borderId="1" xfId="0" applyFont="1" applyFill="1" applyBorder="1" applyProtection="1">
      <protection locked="0"/>
    </xf>
    <xf numFmtId="0" fontId="10" fillId="3" borderId="1" xfId="0" applyFont="1" applyFill="1" applyBorder="1" applyAlignment="1" applyProtection="1">
      <alignment horizontal="center"/>
      <protection locked="0"/>
    </xf>
    <xf numFmtId="0" fontId="10" fillId="3" borderId="1" xfId="0" applyFont="1" applyFill="1" applyBorder="1" applyProtection="1">
      <protection locked="0"/>
    </xf>
    <xf numFmtId="0" fontId="11" fillId="7" borderId="1" xfId="0" applyFont="1" applyFill="1" applyBorder="1" applyAlignment="1" applyProtection="1">
      <alignment horizontal="center"/>
      <protection locked="0"/>
    </xf>
    <xf numFmtId="0" fontId="10" fillId="0" borderId="0" xfId="0" applyFont="1" applyAlignment="1" applyProtection="1">
      <alignment wrapText="1"/>
      <protection locked="0"/>
    </xf>
    <xf numFmtId="0" fontId="10" fillId="0" borderId="0" xfId="0" applyFont="1" applyAlignment="1" applyProtection="1">
      <alignment horizontal="center" wrapText="1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5" borderId="1" xfId="0" applyFont="1" applyFill="1" applyBorder="1" applyProtection="1">
      <protection locked="0"/>
    </xf>
    <xf numFmtId="0" fontId="10" fillId="5" borderId="1" xfId="0" applyFont="1" applyFill="1" applyBorder="1" applyAlignment="1" applyProtection="1">
      <alignment horizontal="center" wrapText="1"/>
      <protection locked="0"/>
    </xf>
    <xf numFmtId="0" fontId="10" fillId="5" borderId="1" xfId="0" applyFont="1" applyFill="1" applyBorder="1" applyAlignment="1" applyProtection="1">
      <alignment horizontal="center"/>
      <protection locked="0"/>
    </xf>
    <xf numFmtId="0" fontId="10" fillId="0" borderId="1" xfId="0" applyFont="1" applyBorder="1" applyProtection="1">
      <protection locked="0"/>
    </xf>
    <xf numFmtId="0" fontId="12" fillId="0" borderId="1" xfId="0" applyFont="1" applyBorder="1" applyAlignment="1" applyProtection="1">
      <alignment horizontal="center" wrapText="1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center" wrapText="1"/>
      <protection locked="0"/>
    </xf>
    <xf numFmtId="0" fontId="10" fillId="0" borderId="0" xfId="0" applyFont="1" applyBorder="1" applyProtection="1">
      <protection locked="0"/>
    </xf>
    <xf numFmtId="0" fontId="10" fillId="0" borderId="1" xfId="0" applyFont="1" applyFill="1" applyBorder="1" applyProtection="1">
      <protection locked="0"/>
    </xf>
    <xf numFmtId="0" fontId="10" fillId="0" borderId="0" xfId="0" applyFont="1" applyFill="1" applyBorder="1" applyProtection="1">
      <protection locked="0"/>
    </xf>
    <xf numFmtId="0" fontId="10" fillId="0" borderId="0" xfId="0" applyFont="1" applyBorder="1" applyAlignment="1" applyProtection="1">
      <alignment wrapText="1"/>
      <protection locked="0"/>
    </xf>
    <xf numFmtId="0" fontId="10" fillId="0" borderId="0" xfId="0" applyFont="1" applyBorder="1" applyAlignment="1" applyProtection="1">
      <alignment horizontal="center" vertical="center"/>
      <protection locked="0"/>
    </xf>
    <xf numFmtId="164" fontId="10" fillId="0" borderId="0" xfId="0" applyNumberFormat="1" applyFont="1" applyBorder="1" applyAlignment="1" applyProtection="1">
      <alignment horizontal="center"/>
      <protection locked="0"/>
    </xf>
    <xf numFmtId="16" fontId="11" fillId="4" borderId="1" xfId="0" applyNumberFormat="1" applyFont="1" applyFill="1" applyBorder="1" applyProtection="1">
      <protection locked="0"/>
    </xf>
    <xf numFmtId="0" fontId="11" fillId="4" borderId="1" xfId="0" applyFont="1" applyFill="1" applyBorder="1" applyAlignment="1" applyProtection="1">
      <alignment wrapText="1"/>
      <protection locked="0"/>
    </xf>
    <xf numFmtId="10" fontId="11" fillId="4" borderId="1" xfId="0" applyNumberFormat="1" applyFont="1" applyFill="1" applyBorder="1" applyAlignment="1" applyProtection="1">
      <alignment wrapText="1"/>
      <protection locked="0"/>
    </xf>
    <xf numFmtId="17" fontId="10" fillId="0" borderId="1" xfId="0" applyNumberFormat="1" applyFont="1" applyBorder="1" applyAlignment="1" applyProtection="1">
      <alignment horizontal="left" vertical="top"/>
      <protection locked="0"/>
    </xf>
    <xf numFmtId="0" fontId="10" fillId="0" borderId="1" xfId="0" applyFont="1" applyBorder="1" applyAlignment="1" applyProtection="1">
      <alignment vertical="top" wrapText="1"/>
      <protection locked="0"/>
    </xf>
    <xf numFmtId="16" fontId="11" fillId="0" borderId="0" xfId="0" applyNumberFormat="1" applyFont="1" applyFill="1" applyBorder="1" applyProtection="1">
      <protection locked="0"/>
    </xf>
    <xf numFmtId="0" fontId="11" fillId="0" borderId="0" xfId="0" applyFont="1" applyFill="1" applyBorder="1" applyAlignment="1" applyProtection="1">
      <alignment wrapText="1"/>
      <protection locked="0"/>
    </xf>
    <xf numFmtId="10" fontId="11" fillId="0" borderId="0" xfId="0" applyNumberFormat="1" applyFont="1" applyFill="1" applyBorder="1" applyProtection="1">
      <protection locked="0"/>
    </xf>
    <xf numFmtId="0" fontId="11" fillId="0" borderId="0" xfId="0" applyFont="1" applyFill="1" applyBorder="1" applyProtection="1">
      <protection locked="0"/>
    </xf>
    <xf numFmtId="17" fontId="10" fillId="0" borderId="0" xfId="0" applyNumberFormat="1" applyFont="1" applyFill="1" applyBorder="1" applyAlignment="1" applyProtection="1">
      <alignment horizontal="left" vertical="top"/>
      <protection locked="0"/>
    </xf>
    <xf numFmtId="0" fontId="10" fillId="0" borderId="0" xfId="0" applyFont="1" applyFill="1" applyBorder="1" applyAlignment="1" applyProtection="1">
      <alignment vertical="top" wrapText="1"/>
      <protection locked="0"/>
    </xf>
    <xf numFmtId="0" fontId="10" fillId="5" borderId="1" xfId="0" applyFont="1" applyFill="1" applyBorder="1" applyAlignment="1" applyProtection="1">
      <alignment horizontal="center"/>
    </xf>
    <xf numFmtId="164" fontId="10" fillId="5" borderId="1" xfId="0" applyNumberFormat="1" applyFont="1" applyFill="1" applyBorder="1" applyAlignment="1" applyProtection="1">
      <alignment horizontal="center"/>
    </xf>
    <xf numFmtId="0" fontId="2" fillId="9" borderId="0" xfId="0" applyFont="1" applyFill="1" applyAlignment="1" applyProtection="1">
      <alignment wrapText="1"/>
      <protection locked="0"/>
    </xf>
    <xf numFmtId="0" fontId="0" fillId="0" borderId="1" xfId="0" applyBorder="1" applyProtection="1">
      <protection locked="0"/>
    </xf>
    <xf numFmtId="10" fontId="2" fillId="8" borderId="1" xfId="1" applyNumberFormat="1" applyFont="1" applyFill="1" applyBorder="1" applyProtection="1">
      <protection locked="0"/>
    </xf>
    <xf numFmtId="2" fontId="2" fillId="8" borderId="1" xfId="1" applyNumberFormat="1" applyFont="1" applyFill="1" applyBorder="1" applyProtection="1"/>
    <xf numFmtId="164" fontId="2" fillId="8" borderId="1" xfId="1" applyNumberFormat="1" applyFont="1" applyFill="1" applyBorder="1" applyProtection="1"/>
    <xf numFmtId="0" fontId="0" fillId="0" borderId="0" xfId="0" applyFill="1" applyBorder="1" applyProtection="1">
      <protection locked="0"/>
    </xf>
    <xf numFmtId="10" fontId="2" fillId="0" borderId="0" xfId="1" applyNumberFormat="1" applyFont="1" applyFill="1" applyBorder="1" applyProtection="1">
      <protection locked="0"/>
    </xf>
    <xf numFmtId="10" fontId="2" fillId="8" borderId="1" xfId="1" applyNumberFormat="1" applyFont="1" applyFill="1" applyBorder="1" applyProtection="1"/>
    <xf numFmtId="0" fontId="2" fillId="9" borderId="0" xfId="0" applyFont="1" applyFill="1" applyProtection="1">
      <protection locked="0"/>
    </xf>
    <xf numFmtId="0" fontId="2" fillId="8" borderId="1" xfId="0" applyFont="1" applyFill="1" applyBorder="1" applyProtection="1">
      <protection locked="0"/>
    </xf>
    <xf numFmtId="10" fontId="0" fillId="8" borderId="1" xfId="0" applyNumberFormat="1" applyFill="1" applyBorder="1" applyProtection="1"/>
    <xf numFmtId="0" fontId="7" fillId="11" borderId="5" xfId="2" applyFont="1" applyFill="1" applyBorder="1" applyAlignment="1">
      <alignment horizontal="center" vertical="top" wrapText="1"/>
    </xf>
    <xf numFmtId="0" fontId="7" fillId="11" borderId="2" xfId="2" applyFont="1" applyFill="1" applyBorder="1" applyAlignment="1">
      <alignment horizontal="center" vertical="top" wrapText="1"/>
    </xf>
    <xf numFmtId="0" fontId="7" fillId="11" borderId="6" xfId="2" applyFont="1" applyFill="1" applyBorder="1" applyAlignment="1">
      <alignment horizontal="center" vertical="top" wrapText="1"/>
    </xf>
    <xf numFmtId="0" fontId="7" fillId="11" borderId="7" xfId="2" applyFont="1" applyFill="1" applyBorder="1" applyAlignment="1">
      <alignment horizontal="center" vertical="top" wrapText="1"/>
    </xf>
    <xf numFmtId="0" fontId="7" fillId="11" borderId="8" xfId="2" applyFont="1" applyFill="1" applyBorder="1" applyAlignment="1">
      <alignment horizontal="center" vertical="top" wrapText="1"/>
    </xf>
    <xf numFmtId="0" fontId="9" fillId="0" borderId="0" xfId="0" applyFont="1" applyAlignment="1" applyProtection="1">
      <alignment horizontal="center"/>
      <protection locked="0"/>
    </xf>
    <xf numFmtId="0" fontId="3" fillId="6" borderId="3" xfId="0" applyFont="1" applyFill="1" applyBorder="1" applyAlignment="1" applyProtection="1">
      <alignment horizontal="center"/>
      <protection locked="0"/>
    </xf>
    <xf numFmtId="0" fontId="3" fillId="6" borderId="4" xfId="0" applyFont="1" applyFill="1" applyBorder="1" applyAlignment="1" applyProtection="1">
      <alignment horizontal="center"/>
      <protection locked="0"/>
    </xf>
    <xf numFmtId="10" fontId="3" fillId="4" borderId="1" xfId="0" applyNumberFormat="1" applyFont="1" applyFill="1" applyBorder="1" applyAlignment="1" applyProtection="1">
      <alignment horizontal="center" vertical="top"/>
      <protection locked="0"/>
    </xf>
    <xf numFmtId="0" fontId="4" fillId="0" borderId="1" xfId="0" applyFont="1" applyBorder="1" applyAlignment="1" applyProtection="1">
      <alignment horizontal="center" vertical="top" wrapText="1"/>
      <protection locked="0"/>
    </xf>
    <xf numFmtId="0" fontId="4" fillId="0" borderId="1" xfId="0" applyFont="1" applyBorder="1" applyAlignment="1" applyProtection="1">
      <alignment horizontal="center"/>
      <protection locked="0"/>
    </xf>
    <xf numFmtId="17" fontId="3" fillId="3" borderId="1" xfId="0" applyNumberFormat="1" applyFont="1" applyFill="1" applyBorder="1" applyAlignment="1" applyProtection="1">
      <alignment horizontal="center" wrapText="1"/>
      <protection locked="0"/>
    </xf>
    <xf numFmtId="0" fontId="4" fillId="10" borderId="1" xfId="0" applyFont="1" applyFill="1" applyBorder="1" applyAlignment="1" applyProtection="1">
      <alignment horizontal="center"/>
      <protection locked="0"/>
    </xf>
    <xf numFmtId="10" fontId="10" fillId="7" borderId="1" xfId="1" applyNumberFormat="1" applyFont="1" applyFill="1" applyBorder="1" applyAlignment="1" applyProtection="1">
      <alignment horizontal="center"/>
    </xf>
    <xf numFmtId="0" fontId="3" fillId="3" borderId="1" xfId="0" applyFont="1" applyFill="1" applyBorder="1" applyAlignment="1" applyProtection="1">
      <alignment horizontal="center"/>
      <protection locked="0"/>
    </xf>
    <xf numFmtId="0" fontId="4" fillId="10" borderId="1" xfId="0" applyFont="1" applyFill="1" applyBorder="1" applyAlignment="1" applyProtection="1">
      <alignment horizontal="center"/>
    </xf>
    <xf numFmtId="164" fontId="10" fillId="12" borderId="1" xfId="0" applyNumberFormat="1" applyFont="1" applyFill="1" applyBorder="1" applyAlignment="1" applyProtection="1">
      <alignment horizontal="center"/>
    </xf>
  </cellXfs>
  <cellStyles count="3">
    <cellStyle name="Normal" xfId="0" builtinId="0"/>
    <cellStyle name="Normal 2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C4" sqref="C4"/>
    </sheetView>
  </sheetViews>
  <sheetFormatPr defaultColWidth="9.1796875" defaultRowHeight="12.5" x14ac:dyDescent="0.25"/>
  <cols>
    <col min="1" max="1" width="20.7265625" style="2" customWidth="1"/>
    <col min="2" max="2" width="18.81640625" style="2" customWidth="1"/>
    <col min="3" max="3" width="30.81640625" style="2" customWidth="1"/>
    <col min="4" max="4" width="22" style="2" customWidth="1"/>
    <col min="5" max="5" width="22.26953125" style="2" customWidth="1"/>
    <col min="6" max="6" width="26.1796875" style="2" customWidth="1"/>
    <col min="7" max="16384" width="9.1796875" style="2"/>
  </cols>
  <sheetData>
    <row r="1" spans="1:6" ht="15.5" x14ac:dyDescent="0.35">
      <c r="A1" s="1" t="s">
        <v>80</v>
      </c>
    </row>
    <row r="2" spans="1:6" ht="14.5" x14ac:dyDescent="0.25">
      <c r="A2" s="84" t="s">
        <v>81</v>
      </c>
      <c r="B2" s="84" t="s">
        <v>82</v>
      </c>
      <c r="C2" s="84" t="s">
        <v>83</v>
      </c>
      <c r="D2" s="3" t="s">
        <v>84</v>
      </c>
      <c r="E2" s="3" t="s">
        <v>85</v>
      </c>
      <c r="F2" s="3" t="s">
        <v>86</v>
      </c>
    </row>
    <row r="3" spans="1:6" ht="14.5" x14ac:dyDescent="0.25">
      <c r="A3" s="85"/>
      <c r="B3" s="85"/>
      <c r="C3" s="85"/>
      <c r="D3" s="86" t="s">
        <v>87</v>
      </c>
      <c r="E3" s="87"/>
      <c r="F3" s="88"/>
    </row>
    <row r="4" spans="1:6" ht="78" x14ac:dyDescent="0.25">
      <c r="A4" s="4" t="s">
        <v>88</v>
      </c>
      <c r="B4" s="5">
        <v>44673</v>
      </c>
      <c r="C4" s="6" t="s">
        <v>93</v>
      </c>
      <c r="D4" s="6" t="s">
        <v>89</v>
      </c>
      <c r="E4" s="6" t="s">
        <v>90</v>
      </c>
      <c r="F4" s="6" t="s">
        <v>90</v>
      </c>
    </row>
    <row r="5" spans="1:6" ht="13" x14ac:dyDescent="0.25">
      <c r="A5" s="4"/>
      <c r="B5" s="5"/>
      <c r="C5" s="6"/>
      <c r="D5" s="6"/>
      <c r="E5" s="6"/>
      <c r="F5" s="6"/>
    </row>
    <row r="6" spans="1:6" ht="13" x14ac:dyDescent="0.25">
      <c r="A6" s="4"/>
      <c r="B6" s="5"/>
      <c r="C6" s="6"/>
      <c r="D6" s="6"/>
      <c r="E6" s="6"/>
      <c r="F6" s="6"/>
    </row>
    <row r="7" spans="1:6" ht="13" x14ac:dyDescent="0.25">
      <c r="A7" s="4"/>
      <c r="B7" s="5"/>
      <c r="C7" s="6"/>
      <c r="D7" s="6"/>
      <c r="E7" s="6"/>
      <c r="F7" s="6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2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3" sqref="C3:F3"/>
    </sheetView>
  </sheetViews>
  <sheetFormatPr defaultColWidth="9.1796875" defaultRowHeight="12.5" x14ac:dyDescent="0.25"/>
  <cols>
    <col min="1" max="1" width="13" style="15" customWidth="1"/>
    <col min="2" max="2" width="29.453125" style="15" customWidth="1"/>
    <col min="3" max="3" width="15.1796875" style="15" customWidth="1"/>
    <col min="4" max="4" width="12.453125" style="15" customWidth="1"/>
    <col min="5" max="5" width="14.1796875" style="15" customWidth="1"/>
    <col min="6" max="6" width="13.81640625" style="15" customWidth="1"/>
    <col min="7" max="7" width="14.7265625" style="15" customWidth="1"/>
    <col min="8" max="8" width="15" style="15" customWidth="1"/>
    <col min="9" max="9" width="14.1796875" style="15" customWidth="1"/>
    <col min="10" max="10" width="14.26953125" style="15" customWidth="1"/>
    <col min="11" max="11" width="14.453125" style="15" customWidth="1"/>
    <col min="12" max="14" width="12.453125" style="15" customWidth="1"/>
    <col min="15" max="15" width="12.54296875" style="15" bestFit="1" customWidth="1"/>
    <col min="16" max="16" width="11.54296875" style="15" customWidth="1"/>
    <col min="17" max="17" width="10.81640625" style="15" customWidth="1"/>
    <col min="18" max="19" width="9.1796875" style="15"/>
    <col min="20" max="20" width="12.26953125" style="15" bestFit="1" customWidth="1"/>
    <col min="21" max="22" width="9.1796875" style="15"/>
    <col min="23" max="23" width="12.26953125" style="15" bestFit="1" customWidth="1"/>
    <col min="24" max="25" width="9.1796875" style="15"/>
    <col min="26" max="26" width="11.1796875" style="15" customWidth="1"/>
    <col min="27" max="28" width="9.1796875" style="15"/>
    <col min="29" max="29" width="12.7265625" style="15" customWidth="1"/>
    <col min="30" max="16384" width="9.1796875" style="15"/>
  </cols>
  <sheetData>
    <row r="1" spans="1:38" x14ac:dyDescent="0.25">
      <c r="A1" s="89" t="s">
        <v>76</v>
      </c>
      <c r="B1" s="89"/>
      <c r="C1" s="89"/>
      <c r="D1" s="89"/>
      <c r="E1" s="89"/>
      <c r="F1" s="89"/>
      <c r="G1" s="89"/>
      <c r="H1" s="89"/>
      <c r="I1" s="89"/>
      <c r="J1" s="89"/>
    </row>
    <row r="3" spans="1:38" x14ac:dyDescent="0.25">
      <c r="B3" s="16" t="s">
        <v>16</v>
      </c>
      <c r="C3" s="96" t="s">
        <v>73</v>
      </c>
      <c r="D3" s="96"/>
      <c r="E3" s="96"/>
      <c r="F3" s="96"/>
    </row>
    <row r="4" spans="1:38" x14ac:dyDescent="0.25">
      <c r="B4" s="17" t="s">
        <v>72</v>
      </c>
      <c r="C4" s="96" t="s">
        <v>73</v>
      </c>
      <c r="D4" s="96"/>
      <c r="E4" s="96"/>
      <c r="F4" s="96"/>
    </row>
    <row r="5" spans="1:38" x14ac:dyDescent="0.25">
      <c r="B5" s="17" t="s">
        <v>74</v>
      </c>
      <c r="C5" s="96" t="s">
        <v>73</v>
      </c>
      <c r="D5" s="96"/>
      <c r="E5" s="96"/>
      <c r="F5" s="96"/>
    </row>
    <row r="6" spans="1:38" x14ac:dyDescent="0.25">
      <c r="B6" s="17" t="s">
        <v>75</v>
      </c>
      <c r="C6" s="96" t="s">
        <v>73</v>
      </c>
      <c r="D6" s="96"/>
      <c r="E6" s="96"/>
      <c r="F6" s="96"/>
    </row>
    <row r="9" spans="1:38" x14ac:dyDescent="0.25">
      <c r="B9" s="16" t="s">
        <v>17</v>
      </c>
      <c r="C9" s="15" t="s">
        <v>91</v>
      </c>
    </row>
    <row r="11" spans="1:38" s="18" customFormat="1" ht="13" x14ac:dyDescent="0.3">
      <c r="C11" s="18" t="s">
        <v>94</v>
      </c>
    </row>
    <row r="12" spans="1:38" x14ac:dyDescent="0.25">
      <c r="A12" s="19"/>
      <c r="B12" s="19"/>
      <c r="C12" s="95">
        <v>44562</v>
      </c>
      <c r="D12" s="95"/>
      <c r="E12" s="95"/>
      <c r="F12" s="95">
        <v>44593</v>
      </c>
      <c r="G12" s="95"/>
      <c r="H12" s="95"/>
      <c r="I12" s="95">
        <v>44621</v>
      </c>
      <c r="J12" s="95"/>
      <c r="K12" s="95"/>
      <c r="L12" s="95">
        <v>44652</v>
      </c>
      <c r="M12" s="95"/>
      <c r="N12" s="95"/>
      <c r="O12" s="95">
        <v>44682</v>
      </c>
      <c r="P12" s="95"/>
      <c r="Q12" s="95"/>
      <c r="R12" s="95">
        <v>44713</v>
      </c>
      <c r="S12" s="95"/>
      <c r="T12" s="95"/>
      <c r="U12" s="95">
        <v>44743</v>
      </c>
      <c r="V12" s="95"/>
      <c r="W12" s="95"/>
      <c r="X12" s="95">
        <v>44774</v>
      </c>
      <c r="Y12" s="95"/>
      <c r="Z12" s="95"/>
      <c r="AA12" s="95">
        <v>44805</v>
      </c>
      <c r="AB12" s="95"/>
      <c r="AC12" s="95"/>
      <c r="AD12" s="95">
        <v>44835</v>
      </c>
      <c r="AE12" s="95"/>
      <c r="AF12" s="95"/>
      <c r="AG12" s="95">
        <v>44866</v>
      </c>
      <c r="AH12" s="95"/>
      <c r="AI12" s="95"/>
      <c r="AJ12" s="95">
        <v>44896</v>
      </c>
      <c r="AK12" s="95"/>
      <c r="AL12" s="95"/>
    </row>
    <row r="13" spans="1:38" s="11" customFormat="1" ht="42.75" customHeight="1" x14ac:dyDescent="0.35">
      <c r="A13" s="8" t="s">
        <v>0</v>
      </c>
      <c r="B13" s="9" t="s">
        <v>13</v>
      </c>
      <c r="C13" s="10" t="s">
        <v>14</v>
      </c>
      <c r="D13" s="10" t="s">
        <v>15</v>
      </c>
      <c r="E13" s="10" t="s">
        <v>18</v>
      </c>
      <c r="F13" s="10" t="s">
        <v>14</v>
      </c>
      <c r="G13" s="10" t="s">
        <v>15</v>
      </c>
      <c r="H13" s="10" t="s">
        <v>37</v>
      </c>
      <c r="I13" s="10" t="s">
        <v>14</v>
      </c>
      <c r="J13" s="10" t="s">
        <v>15</v>
      </c>
      <c r="K13" s="10" t="s">
        <v>37</v>
      </c>
      <c r="L13" s="10" t="s">
        <v>14</v>
      </c>
      <c r="M13" s="10" t="s">
        <v>15</v>
      </c>
      <c r="N13" s="10" t="s">
        <v>37</v>
      </c>
      <c r="O13" s="10" t="s">
        <v>14</v>
      </c>
      <c r="P13" s="10" t="s">
        <v>15</v>
      </c>
      <c r="Q13" s="10" t="s">
        <v>37</v>
      </c>
      <c r="R13" s="10" t="s">
        <v>14</v>
      </c>
      <c r="S13" s="10" t="s">
        <v>15</v>
      </c>
      <c r="T13" s="10" t="s">
        <v>37</v>
      </c>
      <c r="U13" s="10" t="s">
        <v>14</v>
      </c>
      <c r="V13" s="10" t="s">
        <v>15</v>
      </c>
      <c r="W13" s="10" t="s">
        <v>37</v>
      </c>
      <c r="X13" s="10" t="s">
        <v>14</v>
      </c>
      <c r="Y13" s="10" t="s">
        <v>15</v>
      </c>
      <c r="Z13" s="10" t="s">
        <v>37</v>
      </c>
      <c r="AA13" s="10" t="s">
        <v>14</v>
      </c>
      <c r="AB13" s="10" t="s">
        <v>15</v>
      </c>
      <c r="AC13" s="10" t="s">
        <v>37</v>
      </c>
      <c r="AD13" s="10" t="s">
        <v>14</v>
      </c>
      <c r="AE13" s="10" t="s">
        <v>15</v>
      </c>
      <c r="AF13" s="10" t="s">
        <v>37</v>
      </c>
      <c r="AG13" s="10" t="s">
        <v>14</v>
      </c>
      <c r="AH13" s="10" t="s">
        <v>15</v>
      </c>
      <c r="AI13" s="10" t="s">
        <v>37</v>
      </c>
      <c r="AJ13" s="10" t="s">
        <v>14</v>
      </c>
      <c r="AK13" s="10" t="s">
        <v>15</v>
      </c>
      <c r="AL13" s="10" t="s">
        <v>37</v>
      </c>
    </row>
    <row r="14" spans="1:38" x14ac:dyDescent="0.25">
      <c r="A14" s="20">
        <v>1</v>
      </c>
      <c r="B14" s="21" t="s">
        <v>31</v>
      </c>
      <c r="C14" s="12"/>
      <c r="D14" s="12"/>
      <c r="E14" s="32" t="str">
        <f>IFERROR((D14-C14)/C14,"")</f>
        <v/>
      </c>
      <c r="F14" s="12"/>
      <c r="G14" s="12"/>
      <c r="H14" s="32" t="str">
        <f>IFERROR((G14-F14)/F14,"")</f>
        <v/>
      </c>
      <c r="I14" s="12"/>
      <c r="J14" s="12"/>
      <c r="K14" s="32" t="str">
        <f>IFERROR((J14-I14)/I14,"")</f>
        <v/>
      </c>
      <c r="L14" s="12"/>
      <c r="M14" s="12"/>
      <c r="N14" s="32" t="str">
        <f>IFERROR((M14-L14)/L14,"")</f>
        <v/>
      </c>
      <c r="O14" s="12"/>
      <c r="P14" s="12"/>
      <c r="Q14" s="32" t="str">
        <f>IFERROR((P14-O14)/O14,"")</f>
        <v/>
      </c>
      <c r="R14" s="12"/>
      <c r="S14" s="12"/>
      <c r="T14" s="32" t="str">
        <f>IFERROR((S14-R14)/R14,"")</f>
        <v/>
      </c>
      <c r="U14" s="12"/>
      <c r="V14" s="12"/>
      <c r="W14" s="32" t="str">
        <f>IFERROR((V14-U14)/U14,"")</f>
        <v/>
      </c>
      <c r="X14" s="12"/>
      <c r="Y14" s="12"/>
      <c r="Z14" s="32" t="str">
        <f>IFERROR((Y14-X14)/X14,"")</f>
        <v/>
      </c>
      <c r="AA14" s="12"/>
      <c r="AB14" s="12"/>
      <c r="AC14" s="32" t="str">
        <f>IFERROR((AB14-AA14)/AA14,"")</f>
        <v/>
      </c>
      <c r="AD14" s="12"/>
      <c r="AE14" s="12"/>
      <c r="AF14" s="32" t="str">
        <f>IFERROR((AE14-AD14)/AD14,"")</f>
        <v/>
      </c>
      <c r="AG14" s="12"/>
      <c r="AH14" s="12"/>
      <c r="AI14" s="32" t="str">
        <f>IFERROR((AH14-AG14)/AG14,"")</f>
        <v/>
      </c>
      <c r="AJ14" s="12"/>
      <c r="AK14" s="12"/>
      <c r="AL14" s="32" t="str">
        <f>IFERROR((AK14-AJ14)/AJ14,"")</f>
        <v/>
      </c>
    </row>
    <row r="15" spans="1:38" x14ac:dyDescent="0.25">
      <c r="A15" s="20">
        <v>2</v>
      </c>
      <c r="B15" s="19" t="s">
        <v>32</v>
      </c>
      <c r="C15" s="12"/>
      <c r="D15" s="12"/>
      <c r="E15" s="32" t="str">
        <f t="shared" ref="E15:E22" si="0">IFERROR((D15-C15)/C15,"")</f>
        <v/>
      </c>
      <c r="F15" s="12"/>
      <c r="G15" s="13"/>
      <c r="H15" s="32" t="str">
        <f t="shared" ref="H15:H22" si="1">IFERROR((G15-F15)/F15,"")</f>
        <v/>
      </c>
      <c r="I15" s="12"/>
      <c r="J15" s="13"/>
      <c r="K15" s="32" t="str">
        <f t="shared" ref="K15:K22" si="2">IFERROR((J15-I15)/I15,"")</f>
        <v/>
      </c>
      <c r="L15" s="12"/>
      <c r="M15" s="13"/>
      <c r="N15" s="32" t="str">
        <f t="shared" ref="N15:N22" si="3">IFERROR((M15-L15)/L15,"")</f>
        <v/>
      </c>
      <c r="O15" s="12"/>
      <c r="P15" s="13"/>
      <c r="Q15" s="32" t="str">
        <f t="shared" ref="Q15:Q22" si="4">IFERROR((P15-O15)/O15,"")</f>
        <v/>
      </c>
      <c r="R15" s="12"/>
      <c r="S15" s="13"/>
      <c r="T15" s="32" t="str">
        <f t="shared" ref="T15:T22" si="5">IFERROR((S15-R15)/R15,"")</f>
        <v/>
      </c>
      <c r="U15" s="12"/>
      <c r="V15" s="13"/>
      <c r="W15" s="32" t="str">
        <f t="shared" ref="W15:W21" si="6">IFERROR((V15-U15)/U15,"")</f>
        <v/>
      </c>
      <c r="X15" s="12"/>
      <c r="Y15" s="13"/>
      <c r="Z15" s="32" t="str">
        <f t="shared" ref="Z15:Z22" si="7">IFERROR((Y15-X15)/X15,"")</f>
        <v/>
      </c>
      <c r="AA15" s="12"/>
      <c r="AB15" s="13"/>
      <c r="AC15" s="32" t="str">
        <f t="shared" ref="AC15:AC22" si="8">IFERROR((AB15-AA15)/AA15,"")</f>
        <v/>
      </c>
      <c r="AD15" s="12"/>
      <c r="AE15" s="13"/>
      <c r="AF15" s="32" t="str">
        <f t="shared" ref="AF15:AF22" si="9">IFERROR((AE15-AD15)/AD15,"")</f>
        <v/>
      </c>
      <c r="AG15" s="12"/>
      <c r="AH15" s="13"/>
      <c r="AI15" s="32" t="str">
        <f t="shared" ref="AI15:AI22" si="10">IFERROR((AH15-AG15)/AG15,"")</f>
        <v/>
      </c>
      <c r="AJ15" s="12"/>
      <c r="AK15" s="13"/>
      <c r="AL15" s="32" t="str">
        <f t="shared" ref="AL15:AL22" si="11">IFERROR((AK15-AJ15)/AJ15,"")</f>
        <v/>
      </c>
    </row>
    <row r="16" spans="1:38" x14ac:dyDescent="0.25">
      <c r="A16" s="20">
        <v>3</v>
      </c>
      <c r="B16" s="19" t="s">
        <v>36</v>
      </c>
      <c r="C16" s="12"/>
      <c r="D16" s="12"/>
      <c r="E16" s="32" t="str">
        <f t="shared" si="0"/>
        <v/>
      </c>
      <c r="F16" s="12"/>
      <c r="G16" s="13"/>
      <c r="H16" s="32" t="str">
        <f t="shared" si="1"/>
        <v/>
      </c>
      <c r="I16" s="12"/>
      <c r="J16" s="14"/>
      <c r="K16" s="32" t="str">
        <f t="shared" si="2"/>
        <v/>
      </c>
      <c r="L16" s="12"/>
      <c r="M16" s="14"/>
      <c r="N16" s="32" t="str">
        <f t="shared" si="3"/>
        <v/>
      </c>
      <c r="O16" s="12"/>
      <c r="P16" s="14"/>
      <c r="Q16" s="32" t="str">
        <f t="shared" si="4"/>
        <v/>
      </c>
      <c r="R16" s="12"/>
      <c r="S16" s="14"/>
      <c r="T16" s="32" t="str">
        <f t="shared" si="5"/>
        <v/>
      </c>
      <c r="U16" s="12"/>
      <c r="V16" s="14"/>
      <c r="W16" s="32" t="str">
        <f t="shared" si="6"/>
        <v/>
      </c>
      <c r="X16" s="12"/>
      <c r="Y16" s="14"/>
      <c r="Z16" s="32" t="str">
        <f t="shared" si="7"/>
        <v/>
      </c>
      <c r="AA16" s="12"/>
      <c r="AB16" s="14"/>
      <c r="AC16" s="32" t="str">
        <f t="shared" si="8"/>
        <v/>
      </c>
      <c r="AD16" s="12"/>
      <c r="AE16" s="14"/>
      <c r="AF16" s="32" t="str">
        <f t="shared" si="9"/>
        <v/>
      </c>
      <c r="AG16" s="12"/>
      <c r="AH16" s="14"/>
      <c r="AI16" s="32" t="str">
        <f t="shared" si="10"/>
        <v/>
      </c>
      <c r="AJ16" s="12"/>
      <c r="AK16" s="14"/>
      <c r="AL16" s="32" t="str">
        <f t="shared" si="11"/>
        <v/>
      </c>
    </row>
    <row r="17" spans="1:38" x14ac:dyDescent="0.25">
      <c r="A17" s="20">
        <v>4</v>
      </c>
      <c r="B17" s="19" t="s">
        <v>33</v>
      </c>
      <c r="C17" s="12"/>
      <c r="D17" s="12"/>
      <c r="E17" s="32" t="str">
        <f t="shared" si="0"/>
        <v/>
      </c>
      <c r="F17" s="12"/>
      <c r="G17" s="13"/>
      <c r="H17" s="32" t="str">
        <f t="shared" si="1"/>
        <v/>
      </c>
      <c r="I17" s="12"/>
      <c r="J17" s="14"/>
      <c r="K17" s="32" t="str">
        <f t="shared" si="2"/>
        <v/>
      </c>
      <c r="L17" s="12"/>
      <c r="M17" s="14"/>
      <c r="N17" s="32" t="str">
        <f t="shared" si="3"/>
        <v/>
      </c>
      <c r="O17" s="12"/>
      <c r="P17" s="14"/>
      <c r="Q17" s="32" t="str">
        <f t="shared" si="4"/>
        <v/>
      </c>
      <c r="R17" s="12"/>
      <c r="S17" s="14"/>
      <c r="T17" s="32" t="str">
        <f t="shared" si="5"/>
        <v/>
      </c>
      <c r="U17" s="12"/>
      <c r="V17" s="14"/>
      <c r="W17" s="32" t="str">
        <f t="shared" si="6"/>
        <v/>
      </c>
      <c r="X17" s="12"/>
      <c r="Y17" s="14"/>
      <c r="Z17" s="32" t="str">
        <f t="shared" si="7"/>
        <v/>
      </c>
      <c r="AA17" s="12"/>
      <c r="AB17" s="14"/>
      <c r="AC17" s="32" t="str">
        <f t="shared" si="8"/>
        <v/>
      </c>
      <c r="AD17" s="12"/>
      <c r="AE17" s="14"/>
      <c r="AF17" s="32" t="str">
        <f t="shared" si="9"/>
        <v/>
      </c>
      <c r="AG17" s="12"/>
      <c r="AH17" s="14"/>
      <c r="AI17" s="32" t="str">
        <f t="shared" si="10"/>
        <v/>
      </c>
      <c r="AJ17" s="12"/>
      <c r="AK17" s="14"/>
      <c r="AL17" s="32" t="str">
        <f t="shared" si="11"/>
        <v/>
      </c>
    </row>
    <row r="18" spans="1:38" x14ac:dyDescent="0.25">
      <c r="A18" s="20">
        <v>5</v>
      </c>
      <c r="B18" s="19" t="s">
        <v>34</v>
      </c>
      <c r="C18" s="12"/>
      <c r="D18" s="12"/>
      <c r="E18" s="32" t="str">
        <f t="shared" si="0"/>
        <v/>
      </c>
      <c r="F18" s="12"/>
      <c r="G18" s="13"/>
      <c r="H18" s="32" t="str">
        <f t="shared" si="1"/>
        <v/>
      </c>
      <c r="I18" s="12"/>
      <c r="J18" s="14"/>
      <c r="K18" s="32" t="str">
        <f t="shared" si="2"/>
        <v/>
      </c>
      <c r="L18" s="12"/>
      <c r="M18" s="14"/>
      <c r="N18" s="32" t="str">
        <f t="shared" si="3"/>
        <v/>
      </c>
      <c r="O18" s="12"/>
      <c r="P18" s="14"/>
      <c r="Q18" s="32" t="str">
        <f t="shared" si="4"/>
        <v/>
      </c>
      <c r="R18" s="12"/>
      <c r="S18" s="14"/>
      <c r="T18" s="32" t="str">
        <f t="shared" si="5"/>
        <v/>
      </c>
      <c r="U18" s="12"/>
      <c r="V18" s="14"/>
      <c r="W18" s="32" t="str">
        <f t="shared" si="6"/>
        <v/>
      </c>
      <c r="X18" s="12"/>
      <c r="Y18" s="14"/>
      <c r="Z18" s="32" t="str">
        <f t="shared" si="7"/>
        <v/>
      </c>
      <c r="AA18" s="12"/>
      <c r="AB18" s="14"/>
      <c r="AC18" s="32" t="str">
        <f t="shared" si="8"/>
        <v/>
      </c>
      <c r="AD18" s="12"/>
      <c r="AE18" s="14"/>
      <c r="AF18" s="32" t="str">
        <f t="shared" si="9"/>
        <v/>
      </c>
      <c r="AG18" s="12"/>
      <c r="AH18" s="14"/>
      <c r="AI18" s="32" t="str">
        <f t="shared" si="10"/>
        <v/>
      </c>
      <c r="AJ18" s="12"/>
      <c r="AK18" s="14"/>
      <c r="AL18" s="32" t="str">
        <f t="shared" si="11"/>
        <v/>
      </c>
    </row>
    <row r="19" spans="1:38" x14ac:dyDescent="0.25">
      <c r="A19" s="22">
        <v>6</v>
      </c>
      <c r="B19" s="19" t="s">
        <v>38</v>
      </c>
      <c r="C19" s="12"/>
      <c r="D19" s="12"/>
      <c r="E19" s="32" t="str">
        <f t="shared" si="0"/>
        <v/>
      </c>
      <c r="F19" s="12"/>
      <c r="G19" s="13"/>
      <c r="H19" s="32" t="str">
        <f t="shared" si="1"/>
        <v/>
      </c>
      <c r="I19" s="12"/>
      <c r="J19" s="14"/>
      <c r="K19" s="32" t="str">
        <f t="shared" si="2"/>
        <v/>
      </c>
      <c r="L19" s="12"/>
      <c r="M19" s="14"/>
      <c r="N19" s="32" t="str">
        <f t="shared" si="3"/>
        <v/>
      </c>
      <c r="O19" s="12"/>
      <c r="P19" s="14"/>
      <c r="Q19" s="32" t="str">
        <f t="shared" si="4"/>
        <v/>
      </c>
      <c r="R19" s="12"/>
      <c r="S19" s="14"/>
      <c r="T19" s="32" t="str">
        <f t="shared" si="5"/>
        <v/>
      </c>
      <c r="U19" s="12"/>
      <c r="V19" s="14"/>
      <c r="W19" s="32" t="str">
        <f t="shared" si="6"/>
        <v/>
      </c>
      <c r="X19" s="12"/>
      <c r="Y19" s="14"/>
      <c r="Z19" s="32" t="str">
        <f t="shared" si="7"/>
        <v/>
      </c>
      <c r="AA19" s="12"/>
      <c r="AB19" s="14"/>
      <c r="AC19" s="32" t="str">
        <f t="shared" si="8"/>
        <v/>
      </c>
      <c r="AD19" s="12"/>
      <c r="AE19" s="14"/>
      <c r="AF19" s="32" t="str">
        <f t="shared" si="9"/>
        <v/>
      </c>
      <c r="AG19" s="12"/>
      <c r="AH19" s="14"/>
      <c r="AI19" s="32" t="str">
        <f t="shared" si="10"/>
        <v/>
      </c>
      <c r="AJ19" s="12"/>
      <c r="AK19" s="14"/>
      <c r="AL19" s="32" t="str">
        <f t="shared" si="11"/>
        <v/>
      </c>
    </row>
    <row r="20" spans="1:38" x14ac:dyDescent="0.25">
      <c r="A20" s="22">
        <v>7</v>
      </c>
      <c r="B20" s="19" t="s">
        <v>39</v>
      </c>
      <c r="C20" s="12"/>
      <c r="D20" s="12"/>
      <c r="E20" s="32" t="str">
        <f t="shared" si="0"/>
        <v/>
      </c>
      <c r="F20" s="12"/>
      <c r="G20" s="13"/>
      <c r="H20" s="32" t="str">
        <f t="shared" si="1"/>
        <v/>
      </c>
      <c r="I20" s="12"/>
      <c r="J20" s="14"/>
      <c r="K20" s="32" t="str">
        <f t="shared" si="2"/>
        <v/>
      </c>
      <c r="L20" s="12"/>
      <c r="M20" s="14"/>
      <c r="N20" s="32" t="str">
        <f t="shared" si="3"/>
        <v/>
      </c>
      <c r="O20" s="12"/>
      <c r="P20" s="14"/>
      <c r="Q20" s="32" t="str">
        <f t="shared" si="4"/>
        <v/>
      </c>
      <c r="R20" s="12"/>
      <c r="S20" s="14"/>
      <c r="T20" s="32" t="str">
        <f t="shared" si="5"/>
        <v/>
      </c>
      <c r="U20" s="12"/>
      <c r="V20" s="14"/>
      <c r="W20" s="32" t="str">
        <f t="shared" si="6"/>
        <v/>
      </c>
      <c r="X20" s="12"/>
      <c r="Y20" s="14"/>
      <c r="Z20" s="32" t="str">
        <f t="shared" si="7"/>
        <v/>
      </c>
      <c r="AA20" s="12"/>
      <c r="AB20" s="14"/>
      <c r="AC20" s="32" t="str">
        <f t="shared" si="8"/>
        <v/>
      </c>
      <c r="AD20" s="12"/>
      <c r="AE20" s="14"/>
      <c r="AF20" s="32" t="str">
        <f t="shared" si="9"/>
        <v/>
      </c>
      <c r="AG20" s="12"/>
      <c r="AH20" s="14"/>
      <c r="AI20" s="32" t="str">
        <f t="shared" si="10"/>
        <v/>
      </c>
      <c r="AJ20" s="12"/>
      <c r="AK20" s="14"/>
      <c r="AL20" s="32" t="str">
        <f t="shared" si="11"/>
        <v/>
      </c>
    </row>
    <row r="21" spans="1:38" x14ac:dyDescent="0.25">
      <c r="A21" s="22">
        <v>8</v>
      </c>
      <c r="B21" s="19" t="s">
        <v>35</v>
      </c>
      <c r="C21" s="12"/>
      <c r="D21" s="12"/>
      <c r="E21" s="32" t="str">
        <f t="shared" si="0"/>
        <v/>
      </c>
      <c r="F21" s="12"/>
      <c r="G21" s="13"/>
      <c r="H21" s="32" t="str">
        <f t="shared" si="1"/>
        <v/>
      </c>
      <c r="I21" s="12"/>
      <c r="J21" s="14"/>
      <c r="K21" s="32" t="str">
        <f t="shared" si="2"/>
        <v/>
      </c>
      <c r="L21" s="12"/>
      <c r="M21" s="14"/>
      <c r="N21" s="32" t="str">
        <f t="shared" si="3"/>
        <v/>
      </c>
      <c r="O21" s="12"/>
      <c r="P21" s="14"/>
      <c r="Q21" s="32" t="str">
        <f t="shared" si="4"/>
        <v/>
      </c>
      <c r="R21" s="12"/>
      <c r="S21" s="14"/>
      <c r="T21" s="32" t="str">
        <f t="shared" si="5"/>
        <v/>
      </c>
      <c r="U21" s="12"/>
      <c r="V21" s="14"/>
      <c r="W21" s="32" t="str">
        <f t="shared" si="6"/>
        <v/>
      </c>
      <c r="X21" s="12"/>
      <c r="Y21" s="14"/>
      <c r="Z21" s="32" t="str">
        <f t="shared" si="7"/>
        <v/>
      </c>
      <c r="AA21" s="12"/>
      <c r="AB21" s="14"/>
      <c r="AC21" s="32" t="str">
        <f t="shared" si="8"/>
        <v/>
      </c>
      <c r="AD21" s="12"/>
      <c r="AE21" s="14"/>
      <c r="AF21" s="32" t="str">
        <f t="shared" si="9"/>
        <v/>
      </c>
      <c r="AG21" s="12"/>
      <c r="AH21" s="14"/>
      <c r="AI21" s="32" t="str">
        <f t="shared" si="10"/>
        <v/>
      </c>
      <c r="AJ21" s="12"/>
      <c r="AK21" s="14"/>
      <c r="AL21" s="32" t="str">
        <f t="shared" si="11"/>
        <v/>
      </c>
    </row>
    <row r="22" spans="1:38" ht="14.5" customHeight="1" x14ac:dyDescent="0.25">
      <c r="A22" s="90" t="s">
        <v>19</v>
      </c>
      <c r="B22" s="91"/>
      <c r="C22" s="33">
        <f>SUM(C14:C21)</f>
        <v>0</v>
      </c>
      <c r="D22" s="33">
        <f>SUM(D14:D21)</f>
        <v>0</v>
      </c>
      <c r="E22" s="34" t="str">
        <f t="shared" si="0"/>
        <v/>
      </c>
      <c r="F22" s="33">
        <f>SUM(F14:F21)</f>
        <v>0</v>
      </c>
      <c r="G22" s="33">
        <f>SUM(G14:G21)</f>
        <v>0</v>
      </c>
      <c r="H22" s="34" t="str">
        <f t="shared" si="1"/>
        <v/>
      </c>
      <c r="I22" s="35">
        <f>SUM(I14:I21)</f>
        <v>0</v>
      </c>
      <c r="J22" s="35">
        <f>SUM(J14:J21)</f>
        <v>0</v>
      </c>
      <c r="K22" s="34" t="str">
        <f t="shared" si="2"/>
        <v/>
      </c>
      <c r="L22" s="35">
        <f>SUM(L14:L21)</f>
        <v>0</v>
      </c>
      <c r="M22" s="35">
        <f>SUM(M14:M21)</f>
        <v>0</v>
      </c>
      <c r="N22" s="34" t="str">
        <f t="shared" si="3"/>
        <v/>
      </c>
      <c r="O22" s="35">
        <f>SUM(O14:O21)</f>
        <v>0</v>
      </c>
      <c r="P22" s="35">
        <f>SUM(P14:P21)</f>
        <v>0</v>
      </c>
      <c r="Q22" s="34" t="str">
        <f t="shared" si="4"/>
        <v/>
      </c>
      <c r="R22" s="35">
        <f>SUM(R14:R21)</f>
        <v>0</v>
      </c>
      <c r="S22" s="35">
        <f>SUM(S14:S21)</f>
        <v>0</v>
      </c>
      <c r="T22" s="34" t="str">
        <f t="shared" si="5"/>
        <v/>
      </c>
      <c r="U22" s="35">
        <f>SUM(U14:U21)</f>
        <v>0</v>
      </c>
      <c r="V22" s="35">
        <f>SUM(V14:V21)</f>
        <v>0</v>
      </c>
      <c r="W22" s="34" t="e">
        <f>(V22-U22)/U22</f>
        <v>#DIV/0!</v>
      </c>
      <c r="X22" s="35">
        <f>SUM(X14:X21)</f>
        <v>0</v>
      </c>
      <c r="Y22" s="35">
        <f>SUM(Y14:Y21)</f>
        <v>0</v>
      </c>
      <c r="Z22" s="34" t="str">
        <f t="shared" si="7"/>
        <v/>
      </c>
      <c r="AA22" s="35">
        <f>SUM(AA14:AA21)</f>
        <v>0</v>
      </c>
      <c r="AB22" s="35">
        <f>SUM(AB14:AB21)</f>
        <v>0</v>
      </c>
      <c r="AC22" s="34" t="str">
        <f t="shared" si="8"/>
        <v/>
      </c>
      <c r="AD22" s="35">
        <f>SUM(AD14:AD21)</f>
        <v>0</v>
      </c>
      <c r="AE22" s="35">
        <f>SUM(AE14:AE21)</f>
        <v>0</v>
      </c>
      <c r="AF22" s="34" t="str">
        <f t="shared" si="9"/>
        <v/>
      </c>
      <c r="AG22" s="35">
        <f>SUM(AG14:AG21)</f>
        <v>0</v>
      </c>
      <c r="AH22" s="35">
        <f>SUM(AH14:AH21)</f>
        <v>0</v>
      </c>
      <c r="AI22" s="34" t="str">
        <f t="shared" si="10"/>
        <v/>
      </c>
      <c r="AJ22" s="35">
        <f>SUM(AJ14:AJ21)</f>
        <v>0</v>
      </c>
      <c r="AK22" s="35">
        <f>SUM(AK14:AK21)</f>
        <v>0</v>
      </c>
      <c r="AL22" s="34" t="str">
        <f t="shared" si="11"/>
        <v/>
      </c>
    </row>
    <row r="23" spans="1:38" x14ac:dyDescent="0.25">
      <c r="A23" s="23"/>
      <c r="B23" s="23"/>
      <c r="C23" s="24"/>
      <c r="D23" s="24"/>
      <c r="E23" s="25"/>
      <c r="F23" s="24"/>
      <c r="G23" s="24"/>
      <c r="H23" s="25"/>
      <c r="I23" s="24"/>
      <c r="J23" s="24"/>
      <c r="K23" s="25"/>
      <c r="N23" s="25"/>
      <c r="Q23" s="25"/>
      <c r="T23" s="25"/>
      <c r="W23" s="25"/>
    </row>
    <row r="24" spans="1:38" x14ac:dyDescent="0.25">
      <c r="A24" s="23"/>
      <c r="B24" s="23"/>
      <c r="C24" s="23"/>
      <c r="D24" s="26"/>
      <c r="E24" s="26"/>
      <c r="F24" s="26"/>
      <c r="G24" s="26"/>
    </row>
    <row r="25" spans="1:38" x14ac:dyDescent="0.25">
      <c r="A25" s="23"/>
      <c r="B25" s="27" t="s">
        <v>20</v>
      </c>
      <c r="C25" s="23"/>
      <c r="D25" s="23"/>
      <c r="E25" s="26"/>
      <c r="F25" s="26"/>
      <c r="G25" s="26"/>
    </row>
    <row r="26" spans="1:38" x14ac:dyDescent="0.25">
      <c r="A26" s="23"/>
      <c r="B26" s="23"/>
      <c r="C26" s="23"/>
      <c r="D26" s="23"/>
      <c r="E26" s="26"/>
      <c r="F26" s="26"/>
      <c r="G26" s="26"/>
    </row>
    <row r="27" spans="1:38" s="11" customFormat="1" x14ac:dyDescent="0.35">
      <c r="A27" s="28" t="s">
        <v>21</v>
      </c>
      <c r="B27" s="29" t="s">
        <v>77</v>
      </c>
      <c r="C27" s="92" t="s">
        <v>23</v>
      </c>
      <c r="D27" s="92"/>
      <c r="E27" s="92"/>
      <c r="F27" s="92" t="s">
        <v>24</v>
      </c>
      <c r="G27" s="92"/>
      <c r="H27" s="92"/>
    </row>
    <row r="28" spans="1:38" x14ac:dyDescent="0.25">
      <c r="A28" s="30"/>
      <c r="B28" s="31"/>
      <c r="C28" s="93"/>
      <c r="D28" s="93"/>
      <c r="E28" s="93"/>
      <c r="F28" s="94"/>
      <c r="G28" s="94"/>
      <c r="H28" s="94"/>
    </row>
    <row r="29" spans="1:38" x14ac:dyDescent="0.25">
      <c r="A29" s="30"/>
      <c r="B29" s="31"/>
      <c r="C29" s="93"/>
      <c r="D29" s="93"/>
      <c r="E29" s="93"/>
      <c r="F29" s="94"/>
      <c r="G29" s="94"/>
      <c r="H29" s="94"/>
    </row>
    <row r="30" spans="1:38" x14ac:dyDescent="0.25">
      <c r="A30" s="30"/>
      <c r="B30" s="31"/>
      <c r="C30" s="93"/>
      <c r="D30" s="93"/>
      <c r="E30" s="93"/>
      <c r="F30" s="94"/>
      <c r="G30" s="94"/>
      <c r="H30" s="94"/>
    </row>
    <row r="31" spans="1:38" x14ac:dyDescent="0.25">
      <c r="A31" s="30"/>
      <c r="B31" s="31"/>
      <c r="C31" s="93"/>
      <c r="D31" s="93"/>
      <c r="E31" s="93"/>
      <c r="F31" s="94"/>
      <c r="G31" s="94"/>
      <c r="H31" s="94"/>
    </row>
    <row r="32" spans="1:38" x14ac:dyDescent="0.25">
      <c r="A32" s="30"/>
      <c r="B32" s="31"/>
      <c r="C32" s="93"/>
      <c r="D32" s="93"/>
      <c r="E32" s="93"/>
      <c r="F32" s="94"/>
      <c r="G32" s="94"/>
      <c r="H32" s="94"/>
    </row>
    <row r="33" spans="1:8" x14ac:dyDescent="0.25">
      <c r="A33" s="30"/>
      <c r="B33" s="31"/>
      <c r="C33" s="93"/>
      <c r="D33" s="93"/>
      <c r="E33" s="93"/>
      <c r="F33" s="94"/>
      <c r="G33" s="94"/>
      <c r="H33" s="94"/>
    </row>
    <row r="34" spans="1:8" x14ac:dyDescent="0.25">
      <c r="A34" s="30"/>
      <c r="B34" s="31"/>
      <c r="C34" s="93"/>
      <c r="D34" s="93"/>
      <c r="E34" s="93"/>
      <c r="F34" s="94"/>
      <c r="G34" s="94"/>
      <c r="H34" s="94"/>
    </row>
    <row r="35" spans="1:8" x14ac:dyDescent="0.25">
      <c r="A35" s="30"/>
      <c r="B35" s="31"/>
      <c r="C35" s="93"/>
      <c r="D35" s="93"/>
      <c r="E35" s="93"/>
      <c r="F35" s="94"/>
      <c r="G35" s="94"/>
      <c r="H35" s="94"/>
    </row>
    <row r="36" spans="1:8" x14ac:dyDescent="0.25">
      <c r="A36" s="30"/>
      <c r="B36" s="31"/>
      <c r="C36" s="93"/>
      <c r="D36" s="93"/>
      <c r="E36" s="93"/>
      <c r="F36" s="94"/>
      <c r="G36" s="94"/>
      <c r="H36" s="94"/>
    </row>
    <row r="37" spans="1:8" x14ac:dyDescent="0.25">
      <c r="A37" s="30"/>
      <c r="B37" s="31"/>
      <c r="C37" s="93"/>
      <c r="D37" s="93"/>
      <c r="E37" s="93"/>
      <c r="F37" s="94"/>
      <c r="G37" s="94"/>
      <c r="H37" s="94"/>
    </row>
    <row r="38" spans="1:8" x14ac:dyDescent="0.25">
      <c r="A38" s="30"/>
      <c r="B38" s="31"/>
      <c r="C38" s="93"/>
      <c r="D38" s="93"/>
      <c r="E38" s="93"/>
      <c r="F38" s="94"/>
      <c r="G38" s="94"/>
      <c r="H38" s="94"/>
    </row>
    <row r="39" spans="1:8" x14ac:dyDescent="0.25">
      <c r="A39" s="30"/>
      <c r="B39" s="31"/>
      <c r="C39" s="93"/>
      <c r="D39" s="93"/>
      <c r="E39" s="93"/>
      <c r="F39" s="94"/>
      <c r="G39" s="94"/>
      <c r="H39" s="94"/>
    </row>
    <row r="40" spans="1:8" x14ac:dyDescent="0.25">
      <c r="A40" s="30"/>
      <c r="B40" s="31"/>
      <c r="C40" s="93"/>
      <c r="D40" s="93"/>
      <c r="E40" s="93"/>
      <c r="F40" s="94"/>
      <c r="G40" s="94"/>
      <c r="H40" s="94"/>
    </row>
    <row r="41" spans="1:8" x14ac:dyDescent="0.25">
      <c r="A41" s="30"/>
      <c r="B41" s="31"/>
      <c r="C41" s="93"/>
      <c r="D41" s="93"/>
      <c r="E41" s="93"/>
      <c r="F41" s="94"/>
      <c r="G41" s="94"/>
      <c r="H41" s="94"/>
    </row>
    <row r="42" spans="1:8" x14ac:dyDescent="0.25">
      <c r="A42" s="30"/>
      <c r="B42" s="31"/>
      <c r="C42" s="93"/>
      <c r="D42" s="93"/>
      <c r="E42" s="93"/>
      <c r="F42" s="94"/>
      <c r="G42" s="94"/>
      <c r="H42" s="94"/>
    </row>
  </sheetData>
  <sheetProtection algorithmName="SHA-512" hashValue="E3xm8dJNToi1G+J67vbMTGCtHN7V2vaWcq5gXdFcQKsJokB0S7qGzvIXGnMdBYiHzFODLw04CkMl2BLQ5G4isQ==" saltValue="pK9GacLCusSbshTbBF4blQ==" spinCount="100000" sheet="1" objects="1" scenarios="1"/>
  <mergeCells count="50">
    <mergeCell ref="AD12:AF12"/>
    <mergeCell ref="AG12:AI12"/>
    <mergeCell ref="AJ12:AL12"/>
    <mergeCell ref="C3:F3"/>
    <mergeCell ref="C4:F4"/>
    <mergeCell ref="C5:F5"/>
    <mergeCell ref="C6:F6"/>
    <mergeCell ref="L12:N12"/>
    <mergeCell ref="X12:Z12"/>
    <mergeCell ref="AA12:AC12"/>
    <mergeCell ref="R12:T12"/>
    <mergeCell ref="U12:W12"/>
    <mergeCell ref="O12:Q12"/>
    <mergeCell ref="C41:E41"/>
    <mergeCell ref="F41:H41"/>
    <mergeCell ref="C42:E42"/>
    <mergeCell ref="F42:H42"/>
    <mergeCell ref="C38:E38"/>
    <mergeCell ref="F38:H38"/>
    <mergeCell ref="C39:E39"/>
    <mergeCell ref="F39:H39"/>
    <mergeCell ref="C40:E40"/>
    <mergeCell ref="F40:H40"/>
    <mergeCell ref="C35:E35"/>
    <mergeCell ref="F35:H35"/>
    <mergeCell ref="C36:E36"/>
    <mergeCell ref="F36:H36"/>
    <mergeCell ref="C37:E37"/>
    <mergeCell ref="F37:H37"/>
    <mergeCell ref="C32:E32"/>
    <mergeCell ref="F32:H32"/>
    <mergeCell ref="C33:E33"/>
    <mergeCell ref="F33:H33"/>
    <mergeCell ref="C34:E34"/>
    <mergeCell ref="F34:H34"/>
    <mergeCell ref="C29:E29"/>
    <mergeCell ref="F29:H29"/>
    <mergeCell ref="C30:E30"/>
    <mergeCell ref="F30:H30"/>
    <mergeCell ref="C31:E31"/>
    <mergeCell ref="F31:H31"/>
    <mergeCell ref="A1:J1"/>
    <mergeCell ref="A22:B22"/>
    <mergeCell ref="C27:E27"/>
    <mergeCell ref="F27:H27"/>
    <mergeCell ref="C28:E28"/>
    <mergeCell ref="F28:H28"/>
    <mergeCell ref="C12:E12"/>
    <mergeCell ref="F12:H12"/>
    <mergeCell ref="I12:K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showGridLines="0" workbookViewId="0">
      <selection activeCell="C4" sqref="C4:F4"/>
    </sheetView>
  </sheetViews>
  <sheetFormatPr defaultRowHeight="13" x14ac:dyDescent="0.3"/>
  <cols>
    <col min="1" max="1" width="16.453125" style="18" customWidth="1"/>
    <col min="2" max="2" width="19" style="18" customWidth="1"/>
    <col min="3" max="3" width="57.36328125" style="18" customWidth="1"/>
    <col min="4" max="4" width="14.90625" style="18" bestFit="1" customWidth="1"/>
    <col min="5" max="5" width="8.7265625" style="18"/>
    <col min="6" max="6" width="8.7265625" style="18" customWidth="1"/>
    <col min="7" max="16384" width="8.7265625" style="18"/>
  </cols>
  <sheetData>
    <row r="1" spans="1:10" x14ac:dyDescent="0.3">
      <c r="A1" s="89" t="s">
        <v>76</v>
      </c>
      <c r="B1" s="89"/>
      <c r="C1" s="89"/>
      <c r="D1" s="89"/>
      <c r="E1" s="89"/>
      <c r="F1" s="89"/>
      <c r="G1" s="89"/>
      <c r="H1" s="89"/>
      <c r="I1" s="89"/>
      <c r="J1" s="89"/>
    </row>
    <row r="2" spans="1:10" x14ac:dyDescent="0.3">
      <c r="A2" s="36"/>
      <c r="B2" s="36"/>
      <c r="C2" s="36"/>
      <c r="D2" s="36"/>
      <c r="E2" s="36"/>
      <c r="F2" s="36"/>
      <c r="G2" s="36"/>
      <c r="H2" s="36"/>
      <c r="I2" s="36"/>
      <c r="J2" s="36"/>
    </row>
    <row r="3" spans="1:10" x14ac:dyDescent="0.3">
      <c r="A3" s="36"/>
      <c r="B3" s="16" t="s">
        <v>16</v>
      </c>
      <c r="C3" s="99" t="str">
        <f>'Effort Variance (EV)'!C3:F3</f>
        <v>&lt;&gt;</v>
      </c>
      <c r="D3" s="99"/>
      <c r="E3" s="99"/>
      <c r="F3" s="99"/>
      <c r="G3" s="36"/>
      <c r="H3" s="36"/>
      <c r="I3" s="36"/>
      <c r="J3" s="36"/>
    </row>
    <row r="4" spans="1:10" x14ac:dyDescent="0.3">
      <c r="A4" s="36"/>
      <c r="B4" s="17" t="s">
        <v>72</v>
      </c>
      <c r="C4" s="99" t="str">
        <f>'Effort Variance (EV)'!C4:F4</f>
        <v>&lt;&gt;</v>
      </c>
      <c r="D4" s="99"/>
      <c r="E4" s="99"/>
      <c r="F4" s="99"/>
      <c r="G4" s="36"/>
      <c r="H4" s="36"/>
      <c r="I4" s="36"/>
      <c r="J4" s="36"/>
    </row>
    <row r="5" spans="1:10" x14ac:dyDescent="0.3">
      <c r="A5" s="36"/>
      <c r="B5" s="17" t="s">
        <v>74</v>
      </c>
      <c r="C5" s="99" t="str">
        <f>'Effort Variance (EV)'!C5:F5</f>
        <v>&lt;&gt;</v>
      </c>
      <c r="D5" s="99"/>
      <c r="E5" s="99"/>
      <c r="F5" s="99"/>
      <c r="G5" s="36"/>
      <c r="H5" s="36"/>
      <c r="I5" s="36"/>
      <c r="J5" s="36"/>
    </row>
    <row r="6" spans="1:10" x14ac:dyDescent="0.3">
      <c r="A6" s="36"/>
      <c r="B6" s="17" t="s">
        <v>75</v>
      </c>
      <c r="C6" s="99" t="str">
        <f>'Effort Variance (EV)'!C6:F6</f>
        <v>&lt;&gt;</v>
      </c>
      <c r="D6" s="99"/>
      <c r="E6" s="99"/>
      <c r="F6" s="99"/>
      <c r="G6" s="36"/>
      <c r="H6" s="36"/>
      <c r="I6" s="36"/>
      <c r="J6" s="36"/>
    </row>
    <row r="7" spans="1:10" x14ac:dyDescent="0.3">
      <c r="A7" s="36"/>
      <c r="B7" s="36"/>
      <c r="C7" s="36"/>
      <c r="D7" s="36"/>
      <c r="E7" s="36"/>
      <c r="F7" s="36"/>
      <c r="G7" s="36"/>
      <c r="H7" s="36"/>
      <c r="I7" s="36"/>
      <c r="J7" s="36"/>
    </row>
    <row r="8" spans="1:10" x14ac:dyDescent="0.3">
      <c r="A8" s="36"/>
      <c r="B8" s="36"/>
      <c r="C8" s="36"/>
      <c r="D8" s="36"/>
      <c r="E8" s="36"/>
      <c r="F8" s="36"/>
      <c r="G8" s="36"/>
      <c r="H8" s="36"/>
      <c r="I8" s="36"/>
      <c r="J8" s="36"/>
    </row>
    <row r="9" spans="1:10" x14ac:dyDescent="0.3">
      <c r="B9" s="98" t="s">
        <v>78</v>
      </c>
      <c r="C9" s="98"/>
      <c r="D9" s="98"/>
    </row>
    <row r="11" spans="1:10" x14ac:dyDescent="0.3">
      <c r="B11" s="37" t="s">
        <v>0</v>
      </c>
      <c r="C11" s="38" t="s">
        <v>11</v>
      </c>
      <c r="D11" s="38" t="s">
        <v>79</v>
      </c>
    </row>
    <row r="12" spans="1:10" x14ac:dyDescent="0.3">
      <c r="B12" s="39">
        <v>1</v>
      </c>
      <c r="C12" s="40" t="s">
        <v>1</v>
      </c>
      <c r="D12" s="40"/>
    </row>
    <row r="13" spans="1:10" x14ac:dyDescent="0.3">
      <c r="B13" s="39">
        <v>2</v>
      </c>
      <c r="C13" s="40" t="s">
        <v>2</v>
      </c>
      <c r="D13" s="40"/>
    </row>
    <row r="14" spans="1:10" x14ac:dyDescent="0.3">
      <c r="B14" s="39">
        <v>3</v>
      </c>
      <c r="C14" s="40" t="s">
        <v>3</v>
      </c>
      <c r="D14" s="40"/>
    </row>
    <row r="15" spans="1:10" x14ac:dyDescent="0.3">
      <c r="B15" s="39">
        <v>4</v>
      </c>
      <c r="C15" s="40" t="s">
        <v>4</v>
      </c>
      <c r="D15" s="40"/>
    </row>
    <row r="16" spans="1:10" x14ac:dyDescent="0.3">
      <c r="B16" s="39">
        <v>5</v>
      </c>
      <c r="C16" s="40" t="s">
        <v>5</v>
      </c>
      <c r="D16" s="40"/>
    </row>
    <row r="17" spans="2:9" x14ac:dyDescent="0.3">
      <c r="B17" s="39">
        <v>6</v>
      </c>
      <c r="C17" s="40" t="s">
        <v>6</v>
      </c>
      <c r="D17" s="40"/>
    </row>
    <row r="18" spans="2:9" x14ac:dyDescent="0.3">
      <c r="B18" s="39">
        <v>7</v>
      </c>
      <c r="C18" s="40" t="s">
        <v>7</v>
      </c>
      <c r="D18" s="40"/>
    </row>
    <row r="19" spans="2:9" x14ac:dyDescent="0.3">
      <c r="B19" s="41">
        <v>8</v>
      </c>
      <c r="C19" s="42" t="s">
        <v>8</v>
      </c>
      <c r="D19" s="42"/>
    </row>
    <row r="20" spans="2:9" x14ac:dyDescent="0.3">
      <c r="B20" s="41">
        <v>9</v>
      </c>
      <c r="C20" s="42" t="s">
        <v>9</v>
      </c>
      <c r="D20" s="42"/>
    </row>
    <row r="21" spans="2:9" x14ac:dyDescent="0.3">
      <c r="B21" s="41">
        <v>10</v>
      </c>
      <c r="C21" s="42" t="s">
        <v>10</v>
      </c>
      <c r="D21" s="42"/>
    </row>
    <row r="22" spans="2:9" x14ac:dyDescent="0.3">
      <c r="B22" s="41">
        <v>11</v>
      </c>
      <c r="C22" s="42" t="s">
        <v>40</v>
      </c>
      <c r="D22" s="42"/>
    </row>
    <row r="23" spans="2:9" x14ac:dyDescent="0.3">
      <c r="B23" s="43" t="s">
        <v>12</v>
      </c>
      <c r="C23" s="97" t="str">
        <f>IFERROR(SUM(D12:D18)/SUM(D12:D22),"")</f>
        <v/>
      </c>
      <c r="D23" s="97"/>
    </row>
    <row r="25" spans="2:9" x14ac:dyDescent="0.3">
      <c r="B25" s="18" t="s">
        <v>25</v>
      </c>
    </row>
    <row r="28" spans="2:9" x14ac:dyDescent="0.3">
      <c r="B28" s="23"/>
      <c r="C28" s="27" t="s">
        <v>20</v>
      </c>
      <c r="D28" s="23"/>
      <c r="E28" s="23"/>
      <c r="F28" s="26"/>
      <c r="G28" s="26"/>
      <c r="H28" s="26"/>
      <c r="I28" s="15"/>
    </row>
    <row r="29" spans="2:9" x14ac:dyDescent="0.3">
      <c r="B29" s="23"/>
      <c r="C29" s="23"/>
      <c r="D29" s="23"/>
      <c r="E29" s="23"/>
      <c r="F29" s="26"/>
      <c r="G29" s="26"/>
      <c r="H29" s="26"/>
      <c r="I29" s="15"/>
    </row>
    <row r="30" spans="2:9" x14ac:dyDescent="0.3">
      <c r="B30" s="28" t="s">
        <v>21</v>
      </c>
      <c r="C30" s="29" t="s">
        <v>77</v>
      </c>
      <c r="D30" s="92" t="s">
        <v>23</v>
      </c>
      <c r="E30" s="92"/>
      <c r="F30" s="92"/>
      <c r="G30" s="92" t="s">
        <v>24</v>
      </c>
      <c r="H30" s="92"/>
      <c r="I30" s="92"/>
    </row>
    <row r="31" spans="2:9" x14ac:dyDescent="0.3">
      <c r="B31" s="30"/>
      <c r="C31" s="31"/>
      <c r="D31" s="93"/>
      <c r="E31" s="93"/>
      <c r="F31" s="93"/>
      <c r="G31" s="94"/>
      <c r="H31" s="94"/>
      <c r="I31" s="94"/>
    </row>
    <row r="32" spans="2:9" x14ac:dyDescent="0.3">
      <c r="B32" s="30"/>
      <c r="C32" s="31"/>
      <c r="D32" s="93"/>
      <c r="E32" s="93"/>
      <c r="F32" s="93"/>
      <c r="G32" s="94"/>
      <c r="H32" s="94"/>
      <c r="I32" s="94"/>
    </row>
    <row r="33" spans="2:9" x14ac:dyDescent="0.3">
      <c r="B33" s="30"/>
      <c r="C33" s="31"/>
      <c r="D33" s="93"/>
      <c r="E33" s="93"/>
      <c r="F33" s="93"/>
      <c r="G33" s="94"/>
      <c r="H33" s="94"/>
      <c r="I33" s="94"/>
    </row>
    <row r="34" spans="2:9" x14ac:dyDescent="0.3">
      <c r="B34" s="30"/>
      <c r="C34" s="31"/>
      <c r="D34" s="93"/>
      <c r="E34" s="93"/>
      <c r="F34" s="93"/>
      <c r="G34" s="94"/>
      <c r="H34" s="94"/>
      <c r="I34" s="94"/>
    </row>
    <row r="35" spans="2:9" x14ac:dyDescent="0.3">
      <c r="B35" s="30"/>
      <c r="C35" s="31"/>
      <c r="D35" s="93"/>
      <c r="E35" s="93"/>
      <c r="F35" s="93"/>
      <c r="G35" s="94"/>
      <c r="H35" s="94"/>
      <c r="I35" s="94"/>
    </row>
    <row r="36" spans="2:9" x14ac:dyDescent="0.3">
      <c r="B36" s="30"/>
      <c r="C36" s="31"/>
      <c r="D36" s="93"/>
      <c r="E36" s="93"/>
      <c r="F36" s="93"/>
      <c r="G36" s="94"/>
      <c r="H36" s="94"/>
      <c r="I36" s="94"/>
    </row>
    <row r="37" spans="2:9" x14ac:dyDescent="0.3">
      <c r="B37" s="30"/>
      <c r="C37" s="31"/>
      <c r="D37" s="93"/>
      <c r="E37" s="93"/>
      <c r="F37" s="93"/>
      <c r="G37" s="94"/>
      <c r="H37" s="94"/>
      <c r="I37" s="94"/>
    </row>
    <row r="38" spans="2:9" x14ac:dyDescent="0.3">
      <c r="B38" s="30"/>
      <c r="C38" s="31"/>
      <c r="D38" s="93"/>
      <c r="E38" s="93"/>
      <c r="F38" s="93"/>
      <c r="G38" s="94"/>
      <c r="H38" s="94"/>
      <c r="I38" s="94"/>
    </row>
    <row r="39" spans="2:9" x14ac:dyDescent="0.3">
      <c r="B39" s="30"/>
      <c r="C39" s="31"/>
      <c r="D39" s="93"/>
      <c r="E39" s="93"/>
      <c r="F39" s="93"/>
      <c r="G39" s="94"/>
      <c r="H39" s="94"/>
      <c r="I39" s="94"/>
    </row>
    <row r="40" spans="2:9" x14ac:dyDescent="0.3">
      <c r="B40" s="30"/>
      <c r="C40" s="31"/>
      <c r="D40" s="93"/>
      <c r="E40" s="93"/>
      <c r="F40" s="93"/>
      <c r="G40" s="94"/>
      <c r="H40" s="94"/>
      <c r="I40" s="94"/>
    </row>
    <row r="41" spans="2:9" x14ac:dyDescent="0.3">
      <c r="B41" s="30"/>
      <c r="C41" s="31"/>
      <c r="D41" s="93"/>
      <c r="E41" s="93"/>
      <c r="F41" s="93"/>
      <c r="G41" s="94"/>
      <c r="H41" s="94"/>
      <c r="I41" s="94"/>
    </row>
    <row r="42" spans="2:9" x14ac:dyDescent="0.3">
      <c r="B42" s="30"/>
      <c r="C42" s="31"/>
      <c r="D42" s="93"/>
      <c r="E42" s="93"/>
      <c r="F42" s="93"/>
      <c r="G42" s="94"/>
      <c r="H42" s="94"/>
      <c r="I42" s="94"/>
    </row>
    <row r="43" spans="2:9" x14ac:dyDescent="0.3">
      <c r="B43" s="30"/>
      <c r="C43" s="31"/>
      <c r="D43" s="93"/>
      <c r="E43" s="93"/>
      <c r="F43" s="93"/>
      <c r="G43" s="94"/>
      <c r="H43" s="94"/>
      <c r="I43" s="94"/>
    </row>
    <row r="44" spans="2:9" x14ac:dyDescent="0.3">
      <c r="B44" s="30"/>
      <c r="C44" s="31"/>
      <c r="D44" s="93"/>
      <c r="E44" s="93"/>
      <c r="F44" s="93"/>
      <c r="G44" s="94"/>
      <c r="H44" s="94"/>
      <c r="I44" s="94"/>
    </row>
    <row r="45" spans="2:9" x14ac:dyDescent="0.3">
      <c r="B45" s="30"/>
      <c r="C45" s="31"/>
      <c r="D45" s="93"/>
      <c r="E45" s="93"/>
      <c r="F45" s="93"/>
      <c r="G45" s="94"/>
      <c r="H45" s="94"/>
      <c r="I45" s="94"/>
    </row>
  </sheetData>
  <sheetProtection algorithmName="SHA-512" hashValue="y81EG4OdD4mV6qn/BjNyLvaAIJvjGxk7PnxOmFA0QV0XQ+g0RlVQN31OrSS8KsdDTqcpJv4sKGoGE+RMSTh7eA==" saltValue="tkTS+Y6+XQMjDenxxD+Etw==" spinCount="100000" sheet="1" objects="1" scenarios="1"/>
  <mergeCells count="39">
    <mergeCell ref="B9:D9"/>
    <mergeCell ref="A1:J1"/>
    <mergeCell ref="C3:F3"/>
    <mergeCell ref="C4:F4"/>
    <mergeCell ref="C5:F5"/>
    <mergeCell ref="C6:F6"/>
    <mergeCell ref="D36:F36"/>
    <mergeCell ref="G36:I36"/>
    <mergeCell ref="D37:F37"/>
    <mergeCell ref="G37:I37"/>
    <mergeCell ref="C23:D23"/>
    <mergeCell ref="D38:F38"/>
    <mergeCell ref="G38:I38"/>
    <mergeCell ref="D39:F39"/>
    <mergeCell ref="G39:I39"/>
    <mergeCell ref="D40:F40"/>
    <mergeCell ref="G40:I40"/>
    <mergeCell ref="D41:F41"/>
    <mergeCell ref="G41:I41"/>
    <mergeCell ref="D42:F42"/>
    <mergeCell ref="G42:I42"/>
    <mergeCell ref="D43:F43"/>
    <mergeCell ref="G43:I43"/>
    <mergeCell ref="D44:F44"/>
    <mergeCell ref="G44:I44"/>
    <mergeCell ref="D45:F45"/>
    <mergeCell ref="G45:I45"/>
    <mergeCell ref="D30:F30"/>
    <mergeCell ref="G30:I30"/>
    <mergeCell ref="D31:F31"/>
    <mergeCell ref="G31:I31"/>
    <mergeCell ref="D32:F32"/>
    <mergeCell ref="G32:I32"/>
    <mergeCell ref="D33:F33"/>
    <mergeCell ref="G33:I33"/>
    <mergeCell ref="D34:F34"/>
    <mergeCell ref="G34:I34"/>
    <mergeCell ref="D35:F35"/>
    <mergeCell ref="G35:I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showGridLines="0" workbookViewId="0">
      <selection activeCell="E14" sqref="E14"/>
    </sheetView>
  </sheetViews>
  <sheetFormatPr defaultRowHeight="13" x14ac:dyDescent="0.3"/>
  <cols>
    <col min="1" max="1" width="8.7265625" style="18"/>
    <col min="2" max="2" width="20" style="18" bestFit="1" customWidth="1"/>
    <col min="3" max="3" width="19.08984375" style="18" customWidth="1"/>
    <col min="4" max="4" width="25.54296875" style="18" customWidth="1"/>
    <col min="5" max="5" width="22" style="44" customWidth="1"/>
    <col min="6" max="6" width="6.6328125" style="45" customWidth="1"/>
    <col min="7" max="7" width="12.81640625" style="46" customWidth="1"/>
    <col min="8" max="8" width="13.54296875" style="46" customWidth="1"/>
    <col min="9" max="9" width="14.81640625" style="18" customWidth="1"/>
    <col min="10" max="10" width="18.26953125" style="18" customWidth="1"/>
    <col min="11" max="11" width="14.54296875" style="18" customWidth="1"/>
    <col min="12" max="16384" width="8.7265625" style="18"/>
  </cols>
  <sheetData>
    <row r="1" spans="1:11" x14ac:dyDescent="0.3">
      <c r="A1" s="89" t="s">
        <v>76</v>
      </c>
      <c r="B1" s="89"/>
      <c r="C1" s="89"/>
      <c r="D1" s="89"/>
      <c r="E1" s="89"/>
      <c r="F1" s="89"/>
      <c r="G1" s="89"/>
      <c r="H1" s="89"/>
      <c r="I1" s="89"/>
      <c r="J1" s="89"/>
    </row>
    <row r="2" spans="1:11" x14ac:dyDescent="0.3">
      <c r="A2" s="36"/>
      <c r="B2" s="36"/>
      <c r="C2" s="36"/>
      <c r="D2" s="36"/>
      <c r="E2" s="36"/>
      <c r="F2" s="36"/>
      <c r="G2" s="36"/>
      <c r="H2" s="36"/>
      <c r="I2" s="36"/>
      <c r="J2" s="36"/>
    </row>
    <row r="3" spans="1:11" x14ac:dyDescent="0.3">
      <c r="A3" s="36"/>
      <c r="B3" s="16" t="s">
        <v>16</v>
      </c>
      <c r="C3" s="99" t="str">
        <f>'Effort Variance (EV)'!C3:F3</f>
        <v>&lt;&gt;</v>
      </c>
      <c r="D3" s="99"/>
      <c r="E3" s="99"/>
      <c r="F3" s="99"/>
      <c r="G3" s="36"/>
      <c r="H3" s="36"/>
      <c r="I3" s="36"/>
      <c r="J3" s="36"/>
    </row>
    <row r="4" spans="1:11" x14ac:dyDescent="0.3">
      <c r="A4" s="36"/>
      <c r="B4" s="17" t="s">
        <v>72</v>
      </c>
      <c r="C4" s="99" t="str">
        <f>'Effort Variance (EV)'!C4:F4</f>
        <v>&lt;&gt;</v>
      </c>
      <c r="D4" s="99"/>
      <c r="E4" s="99"/>
      <c r="F4" s="99"/>
      <c r="G4" s="36"/>
      <c r="H4" s="36"/>
      <c r="I4" s="36"/>
      <c r="J4" s="36"/>
    </row>
    <row r="5" spans="1:11" x14ac:dyDescent="0.3">
      <c r="A5" s="36"/>
      <c r="B5" s="17" t="s">
        <v>74</v>
      </c>
      <c r="C5" s="99" t="str">
        <f>'Effort Variance (EV)'!C5:F5</f>
        <v>&lt;&gt;</v>
      </c>
      <c r="D5" s="99"/>
      <c r="E5" s="99"/>
      <c r="F5" s="99"/>
      <c r="G5" s="36"/>
      <c r="H5" s="36"/>
      <c r="I5" s="36"/>
      <c r="J5" s="36"/>
    </row>
    <row r="6" spans="1:11" x14ac:dyDescent="0.3">
      <c r="A6" s="36"/>
      <c r="B6" s="17" t="s">
        <v>75</v>
      </c>
      <c r="C6" s="99" t="str">
        <f>'Effort Variance (EV)'!C6:F6</f>
        <v>&lt;&gt;</v>
      </c>
      <c r="D6" s="99"/>
      <c r="E6" s="99"/>
      <c r="F6" s="99"/>
      <c r="G6" s="36"/>
      <c r="H6" s="36"/>
      <c r="I6" s="36"/>
      <c r="J6" s="36"/>
    </row>
    <row r="8" spans="1:11" x14ac:dyDescent="0.3">
      <c r="B8" s="16" t="s">
        <v>17</v>
      </c>
      <c r="C8" s="15" t="s">
        <v>92</v>
      </c>
    </row>
    <row r="11" spans="1:11" x14ac:dyDescent="0.3">
      <c r="B11" s="47" t="s">
        <v>44</v>
      </c>
      <c r="C11" s="48" t="s">
        <v>30</v>
      </c>
      <c r="D11" s="49" t="s">
        <v>29</v>
      </c>
      <c r="E11" s="49" t="s">
        <v>28</v>
      </c>
    </row>
    <row r="12" spans="1:11" x14ac:dyDescent="0.3">
      <c r="B12" s="50" t="s">
        <v>27</v>
      </c>
      <c r="C12" s="51"/>
      <c r="D12" s="52"/>
      <c r="E12" s="100" t="str">
        <f>IFERROR(C12/D12,"")</f>
        <v/>
      </c>
    </row>
    <row r="13" spans="1:11" x14ac:dyDescent="0.3">
      <c r="B13" s="50" t="s">
        <v>36</v>
      </c>
      <c r="C13" s="51"/>
      <c r="D13" s="52"/>
      <c r="E13" s="100" t="str">
        <f t="shared" ref="E13:E16" si="0">IFERROR(C13/D13,"")</f>
        <v/>
      </c>
      <c r="K13" s="53"/>
    </row>
    <row r="14" spans="1:11" x14ac:dyDescent="0.3">
      <c r="B14" s="50" t="s">
        <v>26</v>
      </c>
      <c r="C14" s="51"/>
      <c r="D14" s="52"/>
      <c r="E14" s="100" t="str">
        <f t="shared" si="0"/>
        <v/>
      </c>
      <c r="K14" s="54"/>
    </row>
    <row r="15" spans="1:11" x14ac:dyDescent="0.3">
      <c r="B15" s="55" t="s">
        <v>41</v>
      </c>
      <c r="C15" s="51"/>
      <c r="D15" s="52"/>
      <c r="E15" s="100" t="str">
        <f t="shared" si="0"/>
        <v/>
      </c>
    </row>
    <row r="16" spans="1:11" x14ac:dyDescent="0.3">
      <c r="B16" s="47" t="s">
        <v>19</v>
      </c>
      <c r="C16" s="71">
        <f>SUM(C12:C15)</f>
        <v>0</v>
      </c>
      <c r="D16" s="71">
        <f>SUM(D12:D15)</f>
        <v>0</v>
      </c>
      <c r="E16" s="72" t="str">
        <f t="shared" si="0"/>
        <v/>
      </c>
    </row>
    <row r="17" spans="2:12" x14ac:dyDescent="0.3">
      <c r="D17" s="56"/>
      <c r="E17" s="57"/>
      <c r="G17" s="58"/>
      <c r="H17" s="59"/>
    </row>
    <row r="18" spans="2:12" x14ac:dyDescent="0.3">
      <c r="B18" s="27" t="s">
        <v>20</v>
      </c>
      <c r="D18" s="56"/>
      <c r="E18" s="57"/>
      <c r="G18" s="58"/>
      <c r="H18" s="59"/>
    </row>
    <row r="19" spans="2:12" x14ac:dyDescent="0.3">
      <c r="B19" s="60" t="s">
        <v>21</v>
      </c>
      <c r="C19" s="61" t="s">
        <v>22</v>
      </c>
      <c r="D19" s="62" t="s">
        <v>23</v>
      </c>
      <c r="E19" s="61" t="s">
        <v>24</v>
      </c>
      <c r="G19" s="58"/>
      <c r="H19" s="59"/>
    </row>
    <row r="20" spans="2:12" x14ac:dyDescent="0.3">
      <c r="B20" s="63"/>
      <c r="C20" s="64"/>
      <c r="D20" s="64"/>
      <c r="E20" s="64"/>
      <c r="G20" s="58"/>
      <c r="H20" s="59"/>
    </row>
    <row r="21" spans="2:12" x14ac:dyDescent="0.3">
      <c r="B21" s="63"/>
      <c r="C21" s="64"/>
      <c r="D21" s="64"/>
      <c r="E21" s="64"/>
      <c r="H21" s="65"/>
      <c r="I21" s="66"/>
      <c r="J21" s="67"/>
      <c r="K21" s="68"/>
      <c r="L21" s="56"/>
    </row>
    <row r="22" spans="2:12" x14ac:dyDescent="0.3">
      <c r="B22" s="63"/>
      <c r="C22" s="64"/>
      <c r="D22" s="64"/>
      <c r="E22" s="64"/>
      <c r="H22" s="69"/>
      <c r="I22" s="70"/>
      <c r="J22" s="70"/>
      <c r="K22" s="70"/>
      <c r="L22" s="56"/>
    </row>
    <row r="23" spans="2:12" x14ac:dyDescent="0.3">
      <c r="B23" s="63"/>
      <c r="C23" s="64"/>
      <c r="D23" s="64"/>
      <c r="E23" s="64"/>
    </row>
    <row r="24" spans="2:12" x14ac:dyDescent="0.3">
      <c r="B24" s="63"/>
      <c r="C24" s="64"/>
      <c r="D24" s="64"/>
      <c r="E24" s="64"/>
    </row>
    <row r="25" spans="2:12" x14ac:dyDescent="0.3">
      <c r="B25" s="63"/>
      <c r="C25" s="64"/>
      <c r="D25" s="64"/>
      <c r="E25" s="64"/>
    </row>
    <row r="26" spans="2:12" x14ac:dyDescent="0.3">
      <c r="B26" s="63"/>
      <c r="C26" s="64"/>
      <c r="D26" s="64"/>
      <c r="E26" s="64"/>
    </row>
    <row r="27" spans="2:12" x14ac:dyDescent="0.3">
      <c r="B27" s="63"/>
      <c r="C27" s="64"/>
      <c r="D27" s="64"/>
      <c r="E27" s="64"/>
    </row>
    <row r="28" spans="2:12" x14ac:dyDescent="0.3">
      <c r="B28" s="63"/>
      <c r="C28" s="64"/>
      <c r="D28" s="64"/>
      <c r="E28" s="64"/>
    </row>
  </sheetData>
  <sheetProtection algorithmName="SHA-512" hashValue="2GZAcnXgtOE53CsirzAT9o8avHA4Amr4LfGYk3JpQCp54D39q1gHga43Ixfu0ShOy9mI68ct7Ew6Yt98j1Vy6w==" saltValue="BHaNgjxoLYWgR9Kd7PTjlg==" spinCount="100000" sheet="1" objects="1" scenarios="1"/>
  <mergeCells count="5">
    <mergeCell ref="A1:J1"/>
    <mergeCell ref="C3:F3"/>
    <mergeCell ref="C4:F4"/>
    <mergeCell ref="C5:F5"/>
    <mergeCell ref="C6:F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8"/>
  <sheetViews>
    <sheetView showGridLines="0" workbookViewId="0">
      <selection activeCell="C4" sqref="C4:C5"/>
    </sheetView>
  </sheetViews>
  <sheetFormatPr defaultRowHeight="14.5" x14ac:dyDescent="0.35"/>
  <cols>
    <col min="1" max="1" width="8.7265625" style="7"/>
    <col min="2" max="2" width="21.26953125" style="7" bestFit="1" customWidth="1"/>
    <col min="3" max="3" width="23" style="7" customWidth="1"/>
    <col min="4" max="16384" width="8.7265625" style="7"/>
  </cols>
  <sheetData>
    <row r="2" spans="2:9" x14ac:dyDescent="0.35">
      <c r="B2" s="73" t="s">
        <v>55</v>
      </c>
      <c r="D2" s="7" t="s">
        <v>56</v>
      </c>
    </row>
    <row r="4" spans="2:9" x14ac:dyDescent="0.35">
      <c r="B4" s="74" t="s">
        <v>47</v>
      </c>
      <c r="C4" s="74"/>
    </row>
    <row r="5" spans="2:9" x14ac:dyDescent="0.35">
      <c r="B5" s="74" t="s">
        <v>64</v>
      </c>
      <c r="C5" s="74"/>
    </row>
    <row r="6" spans="2:9" x14ac:dyDescent="0.35">
      <c r="B6" s="75" t="s">
        <v>55</v>
      </c>
      <c r="C6" s="76" t="str">
        <f>IFERROR(C4/C5,"")</f>
        <v/>
      </c>
    </row>
    <row r="9" spans="2:9" x14ac:dyDescent="0.35">
      <c r="B9" s="27" t="s">
        <v>20</v>
      </c>
      <c r="D9" s="23"/>
      <c r="E9" s="23"/>
      <c r="F9" s="26"/>
      <c r="G9" s="26"/>
      <c r="H9" s="26"/>
      <c r="I9" s="15"/>
    </row>
    <row r="10" spans="2:9" x14ac:dyDescent="0.35">
      <c r="B10" s="23"/>
      <c r="C10" s="23"/>
      <c r="D10" s="23"/>
      <c r="E10" s="23"/>
      <c r="F10" s="26"/>
      <c r="G10" s="26"/>
      <c r="H10" s="26"/>
      <c r="I10" s="15"/>
    </row>
    <row r="11" spans="2:9" x14ac:dyDescent="0.35">
      <c r="B11" s="28" t="s">
        <v>21</v>
      </c>
      <c r="C11" s="29" t="s">
        <v>77</v>
      </c>
      <c r="D11" s="92" t="s">
        <v>23</v>
      </c>
      <c r="E11" s="92"/>
      <c r="F11" s="92"/>
      <c r="G11" s="92" t="s">
        <v>24</v>
      </c>
      <c r="H11" s="92"/>
      <c r="I11" s="92"/>
    </row>
    <row r="12" spans="2:9" x14ac:dyDescent="0.35">
      <c r="B12" s="30"/>
      <c r="C12" s="31"/>
      <c r="D12" s="93"/>
      <c r="E12" s="93"/>
      <c r="F12" s="93"/>
      <c r="G12" s="94"/>
      <c r="H12" s="94"/>
      <c r="I12" s="94"/>
    </row>
    <row r="13" spans="2:9" x14ac:dyDescent="0.35">
      <c r="B13" s="30"/>
      <c r="C13" s="31"/>
      <c r="D13" s="93"/>
      <c r="E13" s="93"/>
      <c r="F13" s="93"/>
      <c r="G13" s="94"/>
      <c r="H13" s="94"/>
      <c r="I13" s="94"/>
    </row>
    <row r="14" spans="2:9" x14ac:dyDescent="0.35">
      <c r="B14" s="30"/>
      <c r="C14" s="31"/>
      <c r="D14" s="93"/>
      <c r="E14" s="93"/>
      <c r="F14" s="93"/>
      <c r="G14" s="94"/>
      <c r="H14" s="94"/>
      <c r="I14" s="94"/>
    </row>
    <row r="15" spans="2:9" x14ac:dyDescent="0.35">
      <c r="B15" s="30"/>
      <c r="C15" s="31"/>
      <c r="D15" s="93"/>
      <c r="E15" s="93"/>
      <c r="F15" s="93"/>
      <c r="G15" s="94"/>
      <c r="H15" s="94"/>
      <c r="I15" s="94"/>
    </row>
    <row r="16" spans="2:9" x14ac:dyDescent="0.35">
      <c r="B16" s="30"/>
      <c r="C16" s="31"/>
      <c r="D16" s="93"/>
      <c r="E16" s="93"/>
      <c r="F16" s="93"/>
      <c r="G16" s="94"/>
      <c r="H16" s="94"/>
      <c r="I16" s="94"/>
    </row>
    <row r="17" spans="2:9" x14ac:dyDescent="0.35">
      <c r="B17" s="30"/>
      <c r="C17" s="31"/>
      <c r="D17" s="93"/>
      <c r="E17" s="93"/>
      <c r="F17" s="93"/>
      <c r="G17" s="94"/>
      <c r="H17" s="94"/>
      <c r="I17" s="94"/>
    </row>
    <row r="18" spans="2:9" x14ac:dyDescent="0.35">
      <c r="B18" s="30"/>
      <c r="C18" s="31"/>
      <c r="D18" s="93"/>
      <c r="E18" s="93"/>
      <c r="F18" s="93"/>
      <c r="G18" s="94"/>
      <c r="H18" s="94"/>
      <c r="I18" s="94"/>
    </row>
  </sheetData>
  <sheetProtection algorithmName="SHA-512" hashValue="dDD5tY7PytS8kVN3vmo57PqP/yJYSRahUcyxWYaaHB3X3DRuExKcuSW2gCZHXCwBhtS6zVKpI+TRISFkF45bjQ==" saltValue="pQRo/K1mqYVG2C+RZ/Y3QQ==" spinCount="100000" sheet="1" objects="1" scenarios="1"/>
  <mergeCells count="16">
    <mergeCell ref="D11:F11"/>
    <mergeCell ref="G11:I11"/>
    <mergeCell ref="D12:F12"/>
    <mergeCell ref="G12:I12"/>
    <mergeCell ref="D13:F13"/>
    <mergeCell ref="G13:I13"/>
    <mergeCell ref="D17:F17"/>
    <mergeCell ref="G17:I17"/>
    <mergeCell ref="D18:F18"/>
    <mergeCell ref="G18:I18"/>
    <mergeCell ref="D14:F14"/>
    <mergeCell ref="G14:I14"/>
    <mergeCell ref="D15:F15"/>
    <mergeCell ref="G15:I15"/>
    <mergeCell ref="D16:F16"/>
    <mergeCell ref="G16:I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8"/>
  <sheetViews>
    <sheetView showGridLines="0" workbookViewId="0">
      <selection activeCell="C4" sqref="C4:C5"/>
    </sheetView>
  </sheetViews>
  <sheetFormatPr defaultRowHeight="14.5" x14ac:dyDescent="0.35"/>
  <cols>
    <col min="1" max="1" width="8.7265625" style="7"/>
    <col min="2" max="2" width="30.7265625" style="7" customWidth="1"/>
    <col min="3" max="3" width="23.6328125" style="7" customWidth="1"/>
    <col min="4" max="16384" width="8.7265625" style="7"/>
  </cols>
  <sheetData>
    <row r="2" spans="2:9" x14ac:dyDescent="0.35">
      <c r="B2" s="73" t="s">
        <v>58</v>
      </c>
      <c r="D2" s="7" t="s">
        <v>57</v>
      </c>
    </row>
    <row r="4" spans="2:9" x14ac:dyDescent="0.35">
      <c r="B4" s="74" t="s">
        <v>48</v>
      </c>
      <c r="C4" s="74"/>
    </row>
    <row r="5" spans="2:9" x14ac:dyDescent="0.35">
      <c r="B5" s="74" t="s">
        <v>65</v>
      </c>
      <c r="C5" s="74"/>
    </row>
    <row r="6" spans="2:9" x14ac:dyDescent="0.35">
      <c r="B6" s="75" t="s">
        <v>58</v>
      </c>
      <c r="C6" s="77" t="str">
        <f>IFERROR(C4/C5,"")</f>
        <v/>
      </c>
    </row>
    <row r="9" spans="2:9" x14ac:dyDescent="0.35">
      <c r="B9" s="27" t="s">
        <v>20</v>
      </c>
      <c r="D9" s="23"/>
      <c r="E9" s="23"/>
      <c r="F9" s="26"/>
      <c r="G9" s="26"/>
      <c r="H9" s="26"/>
      <c r="I9" s="15"/>
    </row>
    <row r="10" spans="2:9" x14ac:dyDescent="0.35">
      <c r="B10" s="23"/>
      <c r="C10" s="23"/>
      <c r="D10" s="23"/>
      <c r="E10" s="23"/>
      <c r="F10" s="26"/>
      <c r="G10" s="26"/>
      <c r="H10" s="26"/>
      <c r="I10" s="15"/>
    </row>
    <row r="11" spans="2:9" x14ac:dyDescent="0.35">
      <c r="B11" s="28" t="s">
        <v>21</v>
      </c>
      <c r="C11" s="29" t="s">
        <v>77</v>
      </c>
      <c r="D11" s="92" t="s">
        <v>23</v>
      </c>
      <c r="E11" s="92"/>
      <c r="F11" s="92"/>
      <c r="G11" s="92" t="s">
        <v>24</v>
      </c>
      <c r="H11" s="92"/>
      <c r="I11" s="92"/>
    </row>
    <row r="12" spans="2:9" x14ac:dyDescent="0.35">
      <c r="B12" s="30"/>
      <c r="C12" s="31"/>
      <c r="D12" s="93"/>
      <c r="E12" s="93"/>
      <c r="F12" s="93"/>
      <c r="G12" s="94"/>
      <c r="H12" s="94"/>
      <c r="I12" s="94"/>
    </row>
    <row r="13" spans="2:9" x14ac:dyDescent="0.35">
      <c r="B13" s="30"/>
      <c r="C13" s="31"/>
      <c r="D13" s="93"/>
      <c r="E13" s="93"/>
      <c r="F13" s="93"/>
      <c r="G13" s="94"/>
      <c r="H13" s="94"/>
      <c r="I13" s="94"/>
    </row>
    <row r="14" spans="2:9" x14ac:dyDescent="0.35">
      <c r="B14" s="30"/>
      <c r="C14" s="31"/>
      <c r="D14" s="93"/>
      <c r="E14" s="93"/>
      <c r="F14" s="93"/>
      <c r="G14" s="94"/>
      <c r="H14" s="94"/>
      <c r="I14" s="94"/>
    </row>
    <row r="15" spans="2:9" x14ac:dyDescent="0.35">
      <c r="B15" s="30"/>
      <c r="C15" s="31"/>
      <c r="D15" s="93"/>
      <c r="E15" s="93"/>
      <c r="F15" s="93"/>
      <c r="G15" s="94"/>
      <c r="H15" s="94"/>
      <c r="I15" s="94"/>
    </row>
    <row r="16" spans="2:9" x14ac:dyDescent="0.35">
      <c r="B16" s="30"/>
      <c r="C16" s="31"/>
      <c r="D16" s="93"/>
      <c r="E16" s="93"/>
      <c r="F16" s="93"/>
      <c r="G16" s="94"/>
      <c r="H16" s="94"/>
      <c r="I16" s="94"/>
    </row>
    <row r="17" spans="2:9" x14ac:dyDescent="0.35">
      <c r="B17" s="30"/>
      <c r="C17" s="31"/>
      <c r="D17" s="93"/>
      <c r="E17" s="93"/>
      <c r="F17" s="93"/>
      <c r="G17" s="94"/>
      <c r="H17" s="94"/>
      <c r="I17" s="94"/>
    </row>
    <row r="18" spans="2:9" x14ac:dyDescent="0.35">
      <c r="B18" s="30"/>
      <c r="C18" s="31"/>
      <c r="D18" s="93"/>
      <c r="E18" s="93"/>
      <c r="F18" s="93"/>
      <c r="G18" s="94"/>
      <c r="H18" s="94"/>
      <c r="I18" s="94"/>
    </row>
  </sheetData>
  <sheetProtection algorithmName="SHA-512" hashValue="sBcXIspJUCp9P4lFi5mcOux8kyKVA8Ca4CfIOCrNT5gUwiguPE9rtVJayf+DUB1ArfeXCu7qw9NnN8lfpH4c2w==" saltValue="+7HGSFlySCQ+X57HwN7/3Q==" spinCount="100000" sheet="1" objects="1" scenarios="1"/>
  <mergeCells count="16">
    <mergeCell ref="D11:F11"/>
    <mergeCell ref="G11:I11"/>
    <mergeCell ref="D12:F12"/>
    <mergeCell ref="G12:I12"/>
    <mergeCell ref="D13:F13"/>
    <mergeCell ref="G13:I13"/>
    <mergeCell ref="D17:F17"/>
    <mergeCell ref="G17:I17"/>
    <mergeCell ref="D18:F18"/>
    <mergeCell ref="G18:I18"/>
    <mergeCell ref="D14:F14"/>
    <mergeCell ref="G14:I14"/>
    <mergeCell ref="D15:F15"/>
    <mergeCell ref="G15:I15"/>
    <mergeCell ref="D16:F16"/>
    <mergeCell ref="G16:I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1"/>
  <sheetViews>
    <sheetView showGridLines="0" workbookViewId="0">
      <selection activeCell="C4" sqref="C4:C8"/>
    </sheetView>
  </sheetViews>
  <sheetFormatPr defaultRowHeight="14.5" x14ac:dyDescent="0.35"/>
  <cols>
    <col min="1" max="1" width="8.7265625" style="7"/>
    <col min="2" max="2" width="34.1796875" style="7" customWidth="1"/>
    <col min="3" max="3" width="27.6328125" style="7" customWidth="1"/>
    <col min="4" max="16384" width="8.7265625" style="7"/>
  </cols>
  <sheetData>
    <row r="2" spans="2:9" x14ac:dyDescent="0.35">
      <c r="B2" s="73" t="s">
        <v>60</v>
      </c>
      <c r="D2" s="7" t="s">
        <v>59</v>
      </c>
    </row>
    <row r="4" spans="2:9" x14ac:dyDescent="0.35">
      <c r="B4" s="74" t="s">
        <v>63</v>
      </c>
      <c r="C4" s="74"/>
      <c r="D4" s="78"/>
    </row>
    <row r="5" spans="2:9" x14ac:dyDescent="0.35">
      <c r="B5" s="74" t="s">
        <v>64</v>
      </c>
      <c r="C5" s="74"/>
      <c r="D5" s="78"/>
    </row>
    <row r="6" spans="2:9" x14ac:dyDescent="0.35">
      <c r="B6" s="74" t="s">
        <v>65</v>
      </c>
      <c r="C6" s="74"/>
      <c r="D6" s="78"/>
    </row>
    <row r="7" spans="2:9" x14ac:dyDescent="0.35">
      <c r="B7" s="74" t="s">
        <v>66</v>
      </c>
      <c r="C7" s="74"/>
      <c r="D7" s="78"/>
    </row>
    <row r="8" spans="2:9" x14ac:dyDescent="0.35">
      <c r="B8" s="74" t="s">
        <v>67</v>
      </c>
      <c r="C8" s="74"/>
      <c r="D8" s="78"/>
    </row>
    <row r="9" spans="2:9" x14ac:dyDescent="0.35">
      <c r="B9" s="75" t="s">
        <v>60</v>
      </c>
      <c r="C9" s="80" t="str">
        <f>IFERROR((C4+C5+C6+C7)/(C8),"")</f>
        <v/>
      </c>
      <c r="D9" s="79"/>
    </row>
    <row r="12" spans="2:9" x14ac:dyDescent="0.35">
      <c r="B12" s="27" t="s">
        <v>20</v>
      </c>
      <c r="D12" s="23"/>
      <c r="E12" s="23"/>
      <c r="F12" s="26"/>
      <c r="G12" s="26"/>
      <c r="H12" s="26"/>
      <c r="I12" s="15"/>
    </row>
    <row r="13" spans="2:9" x14ac:dyDescent="0.35">
      <c r="B13" s="23"/>
      <c r="C13" s="23"/>
      <c r="D13" s="23"/>
      <c r="E13" s="23"/>
      <c r="F13" s="26"/>
      <c r="G13" s="26"/>
      <c r="H13" s="26"/>
      <c r="I13" s="15"/>
    </row>
    <row r="14" spans="2:9" x14ac:dyDescent="0.35">
      <c r="B14" s="28" t="s">
        <v>21</v>
      </c>
      <c r="C14" s="29" t="s">
        <v>77</v>
      </c>
      <c r="D14" s="92" t="s">
        <v>23</v>
      </c>
      <c r="E14" s="92"/>
      <c r="F14" s="92"/>
      <c r="G14" s="92" t="s">
        <v>24</v>
      </c>
      <c r="H14" s="92"/>
      <c r="I14" s="92"/>
    </row>
    <row r="15" spans="2:9" x14ac:dyDescent="0.35">
      <c r="B15" s="30"/>
      <c r="C15" s="31"/>
      <c r="D15" s="93"/>
      <c r="E15" s="93"/>
      <c r="F15" s="93"/>
      <c r="G15" s="94"/>
      <c r="H15" s="94"/>
      <c r="I15" s="94"/>
    </row>
    <row r="16" spans="2:9" x14ac:dyDescent="0.35">
      <c r="B16" s="30"/>
      <c r="C16" s="31"/>
      <c r="D16" s="93"/>
      <c r="E16" s="93"/>
      <c r="F16" s="93"/>
      <c r="G16" s="94"/>
      <c r="H16" s="94"/>
      <c r="I16" s="94"/>
    </row>
    <row r="17" spans="2:9" x14ac:dyDescent="0.35">
      <c r="B17" s="30"/>
      <c r="C17" s="31"/>
      <c r="D17" s="93"/>
      <c r="E17" s="93"/>
      <c r="F17" s="93"/>
      <c r="G17" s="94"/>
      <c r="H17" s="94"/>
      <c r="I17" s="94"/>
    </row>
    <row r="18" spans="2:9" x14ac:dyDescent="0.35">
      <c r="B18" s="30"/>
      <c r="C18" s="31"/>
      <c r="D18" s="93"/>
      <c r="E18" s="93"/>
      <c r="F18" s="93"/>
      <c r="G18" s="94"/>
      <c r="H18" s="94"/>
      <c r="I18" s="94"/>
    </row>
    <row r="19" spans="2:9" x14ac:dyDescent="0.35">
      <c r="B19" s="30"/>
      <c r="C19" s="31"/>
      <c r="D19" s="93"/>
      <c r="E19" s="93"/>
      <c r="F19" s="93"/>
      <c r="G19" s="94"/>
      <c r="H19" s="94"/>
      <c r="I19" s="94"/>
    </row>
    <row r="20" spans="2:9" x14ac:dyDescent="0.35">
      <c r="B20" s="30"/>
      <c r="C20" s="31"/>
      <c r="D20" s="93"/>
      <c r="E20" s="93"/>
      <c r="F20" s="93"/>
      <c r="G20" s="94"/>
      <c r="H20" s="94"/>
      <c r="I20" s="94"/>
    </row>
    <row r="21" spans="2:9" x14ac:dyDescent="0.35">
      <c r="B21" s="30"/>
      <c r="C21" s="31"/>
      <c r="D21" s="93"/>
      <c r="E21" s="93"/>
      <c r="F21" s="93"/>
      <c r="G21" s="94"/>
      <c r="H21" s="94"/>
      <c r="I21" s="94"/>
    </row>
  </sheetData>
  <sheetProtection algorithmName="SHA-512" hashValue="UsqZVEaFIjbSzerTsY0IiXj+cD3h2jU2xCjROwosLf4HasHvOO6EGfmZFbRjJyw/4bMf5TjJWd8I9YmD3H5Drw==" saltValue="Hisx7AuFqoz8z5Y48f09nA==" spinCount="100000" sheet="1" objects="1" scenarios="1"/>
  <mergeCells count="16">
    <mergeCell ref="D14:F14"/>
    <mergeCell ref="G14:I14"/>
    <mergeCell ref="D15:F15"/>
    <mergeCell ref="G15:I15"/>
    <mergeCell ref="D16:F16"/>
    <mergeCell ref="G16:I16"/>
    <mergeCell ref="D20:F20"/>
    <mergeCell ref="G20:I20"/>
    <mergeCell ref="D21:F21"/>
    <mergeCell ref="G21:I21"/>
    <mergeCell ref="D17:F17"/>
    <mergeCell ref="G17:I17"/>
    <mergeCell ref="D18:F18"/>
    <mergeCell ref="G18:I18"/>
    <mergeCell ref="D19:F19"/>
    <mergeCell ref="G19:I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6"/>
  <sheetViews>
    <sheetView showGridLines="0" workbookViewId="0">
      <selection activeCell="C4" sqref="C4:C5"/>
    </sheetView>
  </sheetViews>
  <sheetFormatPr defaultRowHeight="14.5" x14ac:dyDescent="0.35"/>
  <cols>
    <col min="1" max="1" width="8.7265625" style="7"/>
    <col min="2" max="2" width="45.81640625" style="7" customWidth="1"/>
    <col min="3" max="16384" width="8.7265625" style="7"/>
  </cols>
  <sheetData>
    <row r="2" spans="2:4" x14ac:dyDescent="0.35">
      <c r="B2" s="73" t="s">
        <v>53</v>
      </c>
      <c r="D2" s="7" t="s">
        <v>54</v>
      </c>
    </row>
    <row r="4" spans="2:4" x14ac:dyDescent="0.35">
      <c r="B4" s="74" t="s">
        <v>71</v>
      </c>
      <c r="C4" s="74"/>
    </row>
    <row r="5" spans="2:4" x14ac:dyDescent="0.35">
      <c r="B5" s="74" t="s">
        <v>70</v>
      </c>
      <c r="C5" s="74"/>
    </row>
    <row r="6" spans="2:4" x14ac:dyDescent="0.35">
      <c r="B6" s="75" t="s">
        <v>53</v>
      </c>
      <c r="C6" s="80" t="str">
        <f>IFERROR(C4/C5,"")</f>
        <v/>
      </c>
    </row>
  </sheetData>
  <sheetProtection algorithmName="SHA-512" hashValue="nGTJgC4Iq6pFNPLvfei+wzv2apCtD2yUjng6yiDo1GZvynlxTbPNfeOGajdjCh2cnIwCRnRvSuSjVQdVf3qt5Q==" saltValue="jNo8hUbBfzoBtnpHGs4wRg==" spinCount="100000"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8"/>
  <sheetViews>
    <sheetView showGridLines="0" workbookViewId="0">
      <selection activeCell="C5" sqref="C4:C5"/>
    </sheetView>
  </sheetViews>
  <sheetFormatPr defaultRowHeight="14.5" x14ac:dyDescent="0.35"/>
  <cols>
    <col min="1" max="1" width="8.7265625" style="7"/>
    <col min="2" max="2" width="42" style="7" customWidth="1"/>
    <col min="3" max="3" width="27" style="7" customWidth="1"/>
    <col min="4" max="16384" width="8.7265625" style="7"/>
  </cols>
  <sheetData>
    <row r="2" spans="2:9" x14ac:dyDescent="0.35">
      <c r="B2" s="73" t="s">
        <v>61</v>
      </c>
      <c r="D2" s="7" t="s">
        <v>62</v>
      </c>
    </row>
    <row r="4" spans="2:9" x14ac:dyDescent="0.35">
      <c r="B4" s="74" t="s">
        <v>69</v>
      </c>
      <c r="C4" s="74"/>
    </row>
    <row r="5" spans="2:9" x14ac:dyDescent="0.35">
      <c r="B5" s="74" t="s">
        <v>68</v>
      </c>
      <c r="C5" s="74"/>
    </row>
    <row r="6" spans="2:9" x14ac:dyDescent="0.35">
      <c r="B6" s="75" t="s">
        <v>61</v>
      </c>
      <c r="C6" s="80" t="str">
        <f>IFERROR(C4/C5,"")</f>
        <v/>
      </c>
    </row>
    <row r="9" spans="2:9" x14ac:dyDescent="0.35">
      <c r="B9" s="27" t="s">
        <v>20</v>
      </c>
      <c r="D9" s="23"/>
      <c r="E9" s="23"/>
      <c r="F9" s="26"/>
      <c r="G9" s="26"/>
      <c r="H9" s="26"/>
      <c r="I9" s="15"/>
    </row>
    <row r="10" spans="2:9" x14ac:dyDescent="0.35">
      <c r="B10" s="23"/>
      <c r="C10" s="23"/>
      <c r="D10" s="23"/>
      <c r="E10" s="23"/>
      <c r="F10" s="26"/>
      <c r="G10" s="26"/>
      <c r="H10" s="26"/>
      <c r="I10" s="15"/>
    </row>
    <row r="11" spans="2:9" x14ac:dyDescent="0.35">
      <c r="B11" s="28" t="s">
        <v>21</v>
      </c>
      <c r="C11" s="29" t="s">
        <v>77</v>
      </c>
      <c r="D11" s="92" t="s">
        <v>23</v>
      </c>
      <c r="E11" s="92"/>
      <c r="F11" s="92"/>
      <c r="G11" s="92" t="s">
        <v>24</v>
      </c>
      <c r="H11" s="92"/>
      <c r="I11" s="92"/>
    </row>
    <row r="12" spans="2:9" x14ac:dyDescent="0.35">
      <c r="B12" s="30"/>
      <c r="C12" s="31"/>
      <c r="D12" s="93"/>
      <c r="E12" s="93"/>
      <c r="F12" s="93"/>
      <c r="G12" s="94"/>
      <c r="H12" s="94"/>
      <c r="I12" s="94"/>
    </row>
    <row r="13" spans="2:9" x14ac:dyDescent="0.35">
      <c r="B13" s="30"/>
      <c r="C13" s="31"/>
      <c r="D13" s="93"/>
      <c r="E13" s="93"/>
      <c r="F13" s="93"/>
      <c r="G13" s="94"/>
      <c r="H13" s="94"/>
      <c r="I13" s="94"/>
    </row>
    <row r="14" spans="2:9" x14ac:dyDescent="0.35">
      <c r="B14" s="30"/>
      <c r="C14" s="31"/>
      <c r="D14" s="93"/>
      <c r="E14" s="93"/>
      <c r="F14" s="93"/>
      <c r="G14" s="94"/>
      <c r="H14" s="94"/>
      <c r="I14" s="94"/>
    </row>
    <row r="15" spans="2:9" x14ac:dyDescent="0.35">
      <c r="B15" s="30"/>
      <c r="C15" s="31"/>
      <c r="D15" s="93"/>
      <c r="E15" s="93"/>
      <c r="F15" s="93"/>
      <c r="G15" s="94"/>
      <c r="H15" s="94"/>
      <c r="I15" s="94"/>
    </row>
    <row r="16" spans="2:9" x14ac:dyDescent="0.35">
      <c r="B16" s="30"/>
      <c r="C16" s="31"/>
      <c r="D16" s="93"/>
      <c r="E16" s="93"/>
      <c r="F16" s="93"/>
      <c r="G16" s="94"/>
      <c r="H16" s="94"/>
      <c r="I16" s="94"/>
    </row>
    <row r="17" spans="2:9" x14ac:dyDescent="0.35">
      <c r="B17" s="30"/>
      <c r="C17" s="31"/>
      <c r="D17" s="93"/>
      <c r="E17" s="93"/>
      <c r="F17" s="93"/>
      <c r="G17" s="94"/>
      <c r="H17" s="94"/>
      <c r="I17" s="94"/>
    </row>
    <row r="18" spans="2:9" x14ac:dyDescent="0.35">
      <c r="B18" s="30"/>
      <c r="C18" s="31"/>
      <c r="D18" s="93"/>
      <c r="E18" s="93"/>
      <c r="F18" s="93"/>
      <c r="G18" s="94"/>
      <c r="H18" s="94"/>
      <c r="I18" s="94"/>
    </row>
  </sheetData>
  <sheetProtection algorithmName="SHA-512" hashValue="rWpLIoaKNNj0TVZCrkWS4tH4uw2C3xEtf+5+JRp6UcTzNt9i+1XqEgWVOGweUD6NaI4vfxKot/LYEO5yro4evA==" saltValue="gOJYYQ2PTfEf0mqfRJeJEw==" spinCount="100000" sheet="1" objects="1" scenarios="1"/>
  <mergeCells count="16">
    <mergeCell ref="D11:F11"/>
    <mergeCell ref="G11:I11"/>
    <mergeCell ref="D12:F12"/>
    <mergeCell ref="G12:I12"/>
    <mergeCell ref="D13:F13"/>
    <mergeCell ref="G13:I13"/>
    <mergeCell ref="D17:F17"/>
    <mergeCell ref="G17:I17"/>
    <mergeCell ref="D18:F18"/>
    <mergeCell ref="G18:I18"/>
    <mergeCell ref="D14:F14"/>
    <mergeCell ref="G14:I14"/>
    <mergeCell ref="D15:F15"/>
    <mergeCell ref="G15:I15"/>
    <mergeCell ref="D16:F16"/>
    <mergeCell ref="G16:I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1"/>
  <sheetViews>
    <sheetView showGridLines="0" workbookViewId="0">
      <selection activeCell="C8" sqref="C4:C8"/>
    </sheetView>
  </sheetViews>
  <sheetFormatPr defaultRowHeight="14.5" x14ac:dyDescent="0.35"/>
  <cols>
    <col min="1" max="1" width="8.7265625" style="7"/>
    <col min="2" max="2" width="27.81640625" style="7" customWidth="1"/>
    <col min="3" max="3" width="25" style="7" customWidth="1"/>
    <col min="4" max="16384" width="8.7265625" style="7"/>
  </cols>
  <sheetData>
    <row r="2" spans="2:9" x14ac:dyDescent="0.35">
      <c r="B2" s="81" t="s">
        <v>50</v>
      </c>
      <c r="D2" s="7" t="s">
        <v>52</v>
      </c>
    </row>
    <row r="4" spans="2:9" x14ac:dyDescent="0.35">
      <c r="B4" s="74" t="s">
        <v>46</v>
      </c>
      <c r="C4" s="74"/>
    </row>
    <row r="5" spans="2:9" x14ac:dyDescent="0.35">
      <c r="B5" s="74" t="s">
        <v>47</v>
      </c>
      <c r="C5" s="74"/>
    </row>
    <row r="6" spans="2:9" x14ac:dyDescent="0.35">
      <c r="B6" s="74" t="s">
        <v>48</v>
      </c>
      <c r="C6" s="74"/>
    </row>
    <row r="7" spans="2:9" x14ac:dyDescent="0.35">
      <c r="B7" s="74" t="s">
        <v>49</v>
      </c>
      <c r="C7" s="74"/>
    </row>
    <row r="8" spans="2:9" x14ac:dyDescent="0.35">
      <c r="B8" s="74" t="s">
        <v>51</v>
      </c>
      <c r="C8" s="74"/>
    </row>
    <row r="9" spans="2:9" x14ac:dyDescent="0.35">
      <c r="B9" s="82" t="s">
        <v>50</v>
      </c>
      <c r="C9" s="80" t="str">
        <f>IFERROR((C4+C5+C6+C7)/(C4+C5+C6+C7+C8),"")</f>
        <v/>
      </c>
    </row>
    <row r="12" spans="2:9" x14ac:dyDescent="0.35">
      <c r="B12" s="27" t="s">
        <v>20</v>
      </c>
      <c r="D12" s="23"/>
      <c r="E12" s="23"/>
      <c r="F12" s="26"/>
      <c r="G12" s="26"/>
      <c r="H12" s="26"/>
      <c r="I12" s="15"/>
    </row>
    <row r="13" spans="2:9" x14ac:dyDescent="0.35">
      <c r="B13" s="23"/>
      <c r="C13" s="23"/>
      <c r="D13" s="23"/>
      <c r="E13" s="23"/>
      <c r="F13" s="26"/>
      <c r="G13" s="26"/>
      <c r="H13" s="26"/>
      <c r="I13" s="15"/>
    </row>
    <row r="14" spans="2:9" x14ac:dyDescent="0.35">
      <c r="B14" s="28" t="s">
        <v>21</v>
      </c>
      <c r="C14" s="29" t="s">
        <v>77</v>
      </c>
      <c r="D14" s="92" t="s">
        <v>23</v>
      </c>
      <c r="E14" s="92"/>
      <c r="F14" s="92"/>
      <c r="G14" s="92" t="s">
        <v>24</v>
      </c>
      <c r="H14" s="92"/>
      <c r="I14" s="92"/>
    </row>
    <row r="15" spans="2:9" x14ac:dyDescent="0.35">
      <c r="B15" s="30"/>
      <c r="C15" s="31"/>
      <c r="D15" s="93"/>
      <c r="E15" s="93"/>
      <c r="F15" s="93"/>
      <c r="G15" s="94"/>
      <c r="H15" s="94"/>
      <c r="I15" s="94"/>
    </row>
    <row r="16" spans="2:9" x14ac:dyDescent="0.35">
      <c r="B16" s="30"/>
      <c r="C16" s="31"/>
      <c r="D16" s="93"/>
      <c r="E16" s="93"/>
      <c r="F16" s="93"/>
      <c r="G16" s="94"/>
      <c r="H16" s="94"/>
      <c r="I16" s="94"/>
    </row>
    <row r="17" spans="2:9" x14ac:dyDescent="0.35">
      <c r="B17" s="30"/>
      <c r="C17" s="31"/>
      <c r="D17" s="93"/>
      <c r="E17" s="93"/>
      <c r="F17" s="93"/>
      <c r="G17" s="94"/>
      <c r="H17" s="94"/>
      <c r="I17" s="94"/>
    </row>
    <row r="18" spans="2:9" x14ac:dyDescent="0.35">
      <c r="B18" s="30"/>
      <c r="C18" s="31"/>
      <c r="D18" s="93"/>
      <c r="E18" s="93"/>
      <c r="F18" s="93"/>
      <c r="G18" s="94"/>
      <c r="H18" s="94"/>
      <c r="I18" s="94"/>
    </row>
    <row r="19" spans="2:9" x14ac:dyDescent="0.35">
      <c r="B19" s="30"/>
      <c r="C19" s="31"/>
      <c r="D19" s="93"/>
      <c r="E19" s="93"/>
      <c r="F19" s="93"/>
      <c r="G19" s="94"/>
      <c r="H19" s="94"/>
      <c r="I19" s="94"/>
    </row>
    <row r="20" spans="2:9" x14ac:dyDescent="0.35">
      <c r="B20" s="30"/>
      <c r="C20" s="31"/>
      <c r="D20" s="93"/>
      <c r="E20" s="93"/>
      <c r="F20" s="93"/>
      <c r="G20" s="94"/>
      <c r="H20" s="94"/>
      <c r="I20" s="94"/>
    </row>
    <row r="21" spans="2:9" x14ac:dyDescent="0.35">
      <c r="B21" s="30"/>
      <c r="C21" s="31"/>
      <c r="D21" s="93"/>
      <c r="E21" s="93"/>
      <c r="F21" s="93"/>
      <c r="G21" s="94"/>
      <c r="H21" s="94"/>
      <c r="I21" s="94"/>
    </row>
  </sheetData>
  <sheetProtection algorithmName="SHA-512" hashValue="E+bNVvNT1BCnyb5Q3tdm91oswRLw8qaHCvKoC8rpgukKhgE/ut4o+bbXqEvVDnqZOeuJcO4IL+lbTsos8Djwmw==" saltValue="n5g0LtgsRJ6EufuHS+N2ZA==" spinCount="100000" sheet="1" objects="1" scenarios="1"/>
  <mergeCells count="16">
    <mergeCell ref="D14:F14"/>
    <mergeCell ref="G14:I14"/>
    <mergeCell ref="D15:F15"/>
    <mergeCell ref="G15:I15"/>
    <mergeCell ref="D16:F16"/>
    <mergeCell ref="G16:I16"/>
    <mergeCell ref="D20:F20"/>
    <mergeCell ref="G20:I20"/>
    <mergeCell ref="D21:F21"/>
    <mergeCell ref="G21:I21"/>
    <mergeCell ref="D17:F17"/>
    <mergeCell ref="G17:I17"/>
    <mergeCell ref="D18:F18"/>
    <mergeCell ref="G18:I18"/>
    <mergeCell ref="D19:F19"/>
    <mergeCell ref="G19:I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9"/>
  <sheetViews>
    <sheetView showGridLines="0" workbookViewId="0">
      <selection activeCell="C2" sqref="C2"/>
    </sheetView>
  </sheetViews>
  <sheetFormatPr defaultRowHeight="14.5" x14ac:dyDescent="0.35"/>
  <cols>
    <col min="1" max="1" width="8.7265625" style="7"/>
    <col min="2" max="2" width="27.54296875" style="7" customWidth="1"/>
    <col min="3" max="3" width="25.26953125" style="7" customWidth="1"/>
    <col min="4" max="16384" width="8.7265625" style="7"/>
  </cols>
  <sheetData>
    <row r="2" spans="2:9" x14ac:dyDescent="0.35">
      <c r="B2" s="81" t="s">
        <v>42</v>
      </c>
      <c r="D2" s="7" t="s">
        <v>45</v>
      </c>
    </row>
    <row r="4" spans="2:9" x14ac:dyDescent="0.35">
      <c r="B4" s="74" t="s">
        <v>7</v>
      </c>
      <c r="C4" s="74"/>
    </row>
    <row r="5" spans="2:9" x14ac:dyDescent="0.35">
      <c r="B5" s="74" t="s">
        <v>9</v>
      </c>
      <c r="C5" s="74"/>
    </row>
    <row r="6" spans="2:9" x14ac:dyDescent="0.35">
      <c r="B6" s="74" t="s">
        <v>43</v>
      </c>
      <c r="C6" s="74"/>
    </row>
    <row r="7" spans="2:9" x14ac:dyDescent="0.35">
      <c r="B7" s="82" t="s">
        <v>42</v>
      </c>
      <c r="C7" s="83" t="str">
        <f>IFERROR(C4/(C4+C5+C6),"")</f>
        <v/>
      </c>
    </row>
    <row r="10" spans="2:9" x14ac:dyDescent="0.35">
      <c r="B10" s="27" t="s">
        <v>20</v>
      </c>
      <c r="D10" s="23"/>
      <c r="E10" s="23"/>
      <c r="F10" s="26"/>
      <c r="G10" s="26"/>
      <c r="H10" s="26"/>
      <c r="I10" s="15"/>
    </row>
    <row r="11" spans="2:9" x14ac:dyDescent="0.35">
      <c r="B11" s="23"/>
      <c r="C11" s="23"/>
      <c r="D11" s="23"/>
      <c r="E11" s="23"/>
      <c r="F11" s="26"/>
      <c r="G11" s="26"/>
      <c r="H11" s="26"/>
      <c r="I11" s="15"/>
    </row>
    <row r="12" spans="2:9" x14ac:dyDescent="0.35">
      <c r="B12" s="28" t="s">
        <v>21</v>
      </c>
      <c r="C12" s="29" t="s">
        <v>77</v>
      </c>
      <c r="D12" s="92" t="s">
        <v>23</v>
      </c>
      <c r="E12" s="92"/>
      <c r="F12" s="92"/>
      <c r="G12" s="92" t="s">
        <v>24</v>
      </c>
      <c r="H12" s="92"/>
      <c r="I12" s="92"/>
    </row>
    <row r="13" spans="2:9" x14ac:dyDescent="0.35">
      <c r="B13" s="30"/>
      <c r="C13" s="31"/>
      <c r="D13" s="93"/>
      <c r="E13" s="93"/>
      <c r="F13" s="93"/>
      <c r="G13" s="94"/>
      <c r="H13" s="94"/>
      <c r="I13" s="94"/>
    </row>
    <row r="14" spans="2:9" x14ac:dyDescent="0.35">
      <c r="B14" s="30"/>
      <c r="C14" s="31"/>
      <c r="D14" s="93"/>
      <c r="E14" s="93"/>
      <c r="F14" s="93"/>
      <c r="G14" s="94"/>
      <c r="H14" s="94"/>
      <c r="I14" s="94"/>
    </row>
    <row r="15" spans="2:9" x14ac:dyDescent="0.35">
      <c r="B15" s="30"/>
      <c r="C15" s="31"/>
      <c r="D15" s="93"/>
      <c r="E15" s="93"/>
      <c r="F15" s="93"/>
      <c r="G15" s="94"/>
      <c r="H15" s="94"/>
      <c r="I15" s="94"/>
    </row>
    <row r="16" spans="2:9" x14ac:dyDescent="0.35">
      <c r="B16" s="30"/>
      <c r="C16" s="31"/>
      <c r="D16" s="93"/>
      <c r="E16" s="93"/>
      <c r="F16" s="93"/>
      <c r="G16" s="94"/>
      <c r="H16" s="94"/>
      <c r="I16" s="94"/>
    </row>
    <row r="17" spans="2:9" x14ac:dyDescent="0.35">
      <c r="B17" s="30"/>
      <c r="C17" s="31"/>
      <c r="D17" s="93"/>
      <c r="E17" s="93"/>
      <c r="F17" s="93"/>
      <c r="G17" s="94"/>
      <c r="H17" s="94"/>
      <c r="I17" s="94"/>
    </row>
    <row r="18" spans="2:9" x14ac:dyDescent="0.35">
      <c r="B18" s="30"/>
      <c r="C18" s="31"/>
      <c r="D18" s="93"/>
      <c r="E18" s="93"/>
      <c r="F18" s="93"/>
      <c r="G18" s="94"/>
      <c r="H18" s="94"/>
      <c r="I18" s="94"/>
    </row>
    <row r="19" spans="2:9" x14ac:dyDescent="0.35">
      <c r="B19" s="30"/>
      <c r="C19" s="31"/>
      <c r="D19" s="93"/>
      <c r="E19" s="93"/>
      <c r="F19" s="93"/>
      <c r="G19" s="94"/>
      <c r="H19" s="94"/>
      <c r="I19" s="94"/>
    </row>
  </sheetData>
  <sheetProtection algorithmName="SHA-512" hashValue="dG6RZCWEuEvFQ+4ZbP72I73+I7jeg2Is/wBtsLEPEF5Iami3dE7eci3KInRv+z9bX07uAXwdEC6ifjpZXjz4ew==" saltValue="nmVh507vYVaCZ7OaeH9PJg==" spinCount="100000" sheet="1" objects="1" scenarios="1"/>
  <mergeCells count="16">
    <mergeCell ref="D12:F12"/>
    <mergeCell ref="G12:I12"/>
    <mergeCell ref="D13:F13"/>
    <mergeCell ref="G13:I13"/>
    <mergeCell ref="D14:F14"/>
    <mergeCell ref="G14:I14"/>
    <mergeCell ref="D18:F18"/>
    <mergeCell ref="G18:I18"/>
    <mergeCell ref="D19:F19"/>
    <mergeCell ref="G19:I19"/>
    <mergeCell ref="D15:F15"/>
    <mergeCell ref="G15:I15"/>
    <mergeCell ref="D16:F16"/>
    <mergeCell ref="G16:I16"/>
    <mergeCell ref="D17:F17"/>
    <mergeCell ref="G17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Revision History</vt:lpstr>
      <vt:lpstr>Effort Variance (EV)</vt:lpstr>
      <vt:lpstr>Defect Removal Effeciency (DRE)</vt:lpstr>
      <vt:lpstr>Defect Rate</vt:lpstr>
      <vt:lpstr>Design Review Efficiency</vt:lpstr>
      <vt:lpstr>Code Review Efficiency</vt:lpstr>
      <vt:lpstr>Review Effort %</vt:lpstr>
      <vt:lpstr>Req analysis &amp; SRS doc Effort%</vt:lpstr>
      <vt:lpstr>Design Integration with App %</vt:lpstr>
      <vt:lpstr>Review Effectiveness</vt:lpstr>
      <vt:lpstr>Testing Efficiency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UTL</cp:lastModifiedBy>
  <dcterms:created xsi:type="dcterms:W3CDTF">2018-08-27T08:02:31Z</dcterms:created>
  <dcterms:modified xsi:type="dcterms:W3CDTF">2022-05-09T07:10:54Z</dcterms:modified>
</cp:coreProperties>
</file>