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tkumar17\Desktop\Uneecops\PPM Template\Composition - EV\"/>
    </mc:Choice>
  </mc:AlternateContent>
  <xr:revisionPtr revIDLastSave="0" documentId="8_{CFA6F103-2CDE-400B-BBB7-529F1BD7176B}" xr6:coauthVersionLast="45" xr6:coauthVersionMax="45" xr10:uidLastSave="{00000000-0000-0000-0000-000000000000}"/>
  <bookViews>
    <workbookView xWindow="-120" yWindow="-120" windowWidth="20730" windowHeight="11160" tabRatio="865" activeTab="1" xr2:uid="{00000000-000D-0000-FFFF-FFFF00000000}"/>
  </bookViews>
  <sheets>
    <sheet name="PPM Monitoring-EV" sheetId="8" r:id="rId1"/>
    <sheet name="PPM Monitoring-Defect Rate" sheetId="13" r:id="rId2"/>
    <sheet name="Subprocess Monitoring" sheetId="12" r:id="rId3"/>
    <sheet name="Data for Subprocess Monitoring" sheetId="14" state="hidden" r:id="rId4"/>
    <sheet name="Raw data for EV" sheetId="15" r:id="rId5"/>
    <sheet name="Raw data for Defect rate" sheetId="16" r:id="rId6"/>
  </sheets>
  <definedNames>
    <definedName name="_xlnm._FilterDatabase" localSheetId="1" hidden="1">'PPM Monitoring-Defect Rate'!$A$6:$Q$9</definedName>
    <definedName name="_xlnm._FilterDatabase" localSheetId="0" hidden="1">'PPM Monitoring-EV'!$A$6:$M$9</definedName>
    <definedName name="_xlnm._FilterDatabase" localSheetId="2" hidden="1">'Subprocess Monitoring'!#REF!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9" i="12" l="1"/>
  <c r="C18" i="12"/>
  <c r="C17" i="12"/>
  <c r="C16" i="12"/>
  <c r="C15" i="12"/>
  <c r="C14" i="12"/>
  <c r="C13" i="12"/>
  <c r="C12" i="12"/>
  <c r="C11" i="12"/>
  <c r="C10" i="12"/>
  <c r="C9" i="12"/>
  <c r="C8" i="12"/>
  <c r="I49" i="13"/>
  <c r="F48" i="13"/>
  <c r="G48" i="13" s="1"/>
  <c r="H48" i="13" s="1"/>
  <c r="I48" i="13" s="1"/>
  <c r="C48" i="13"/>
  <c r="D48" i="13" s="1"/>
  <c r="H54" i="8"/>
  <c r="J54" i="8"/>
  <c r="G63" i="8"/>
  <c r="G66" i="8"/>
  <c r="F54" i="8" s="1"/>
  <c r="G67" i="8"/>
  <c r="G54" i="8" s="1"/>
  <c r="G68" i="8"/>
  <c r="G69" i="8"/>
  <c r="I54" i="8" s="1"/>
  <c r="G65" i="8"/>
  <c r="E54" i="8" s="1"/>
  <c r="U56" i="8"/>
  <c r="S54" i="8"/>
  <c r="T54" i="8" s="1"/>
  <c r="Z53" i="8"/>
  <c r="Z56" i="8" s="1"/>
  <c r="V53" i="8"/>
  <c r="W53" i="8" s="1"/>
  <c r="X53" i="8" s="1"/>
  <c r="Y53" i="8" s="1"/>
  <c r="U53" i="8"/>
  <c r="S53" i="8"/>
  <c r="T52" i="8"/>
  <c r="U52" i="8" s="1"/>
  <c r="V52" i="8" s="1"/>
  <c r="W52" i="8" s="1"/>
  <c r="X52" i="8" s="1"/>
  <c r="Y52" i="8" s="1"/>
  <c r="Y56" i="8" s="1"/>
  <c r="S52" i="8"/>
  <c r="S56" i="8" s="1"/>
  <c r="K54" i="8"/>
  <c r="L54" i="8" s="1"/>
  <c r="R53" i="8"/>
  <c r="R56" i="8" s="1"/>
  <c r="M53" i="8"/>
  <c r="N53" i="8" s="1"/>
  <c r="O53" i="8" s="1"/>
  <c r="P53" i="8" s="1"/>
  <c r="Q53" i="8" s="1"/>
  <c r="K53" i="8"/>
  <c r="K52" i="8"/>
  <c r="K56" i="8" s="1"/>
  <c r="J53" i="8"/>
  <c r="J56" i="8" s="1"/>
  <c r="E53" i="8"/>
  <c r="F53" i="8" s="1"/>
  <c r="G53" i="8" s="1"/>
  <c r="H53" i="8" s="1"/>
  <c r="I53" i="8" s="1"/>
  <c r="V56" i="8" l="1"/>
  <c r="W56" i="8"/>
  <c r="X56" i="8"/>
  <c r="L52" i="8"/>
  <c r="M52" i="8" s="1"/>
  <c r="T56" i="8"/>
  <c r="L56" i="8" l="1"/>
  <c r="N52" i="8"/>
  <c r="M56" i="8"/>
  <c r="O52" i="8" l="1"/>
  <c r="N56" i="8"/>
  <c r="P52" i="8" l="1"/>
  <c r="O56" i="8"/>
  <c r="Q52" i="8" l="1"/>
  <c r="Q56" i="8" s="1"/>
  <c r="P56" i="8"/>
  <c r="C54" i="8" l="1"/>
  <c r="D54" i="8" s="1"/>
  <c r="D35" i="13" l="1"/>
  <c r="B35" i="13"/>
  <c r="A34" i="13"/>
  <c r="A33" i="13"/>
  <c r="A54" i="8" l="1"/>
  <c r="A53" i="8"/>
  <c r="A52" i="8"/>
  <c r="H39" i="8" l="1"/>
  <c r="F39" i="8"/>
  <c r="D39" i="8"/>
  <c r="B39" i="8"/>
  <c r="I51" i="13" l="1"/>
  <c r="H51" i="13"/>
  <c r="G51" i="13"/>
  <c r="F51" i="13"/>
  <c r="E51" i="13"/>
  <c r="D51" i="13"/>
  <c r="C51" i="13"/>
  <c r="B51" i="13"/>
  <c r="D52" i="8" l="1"/>
  <c r="B56" i="8"/>
  <c r="E52" i="8" l="1"/>
  <c r="E56" i="8" s="1"/>
  <c r="D56" i="8"/>
  <c r="C56" i="8"/>
  <c r="F52" i="8" l="1"/>
  <c r="E3" i="14"/>
  <c r="F3" i="14" s="1"/>
  <c r="E2" i="14"/>
  <c r="F2" i="14" s="1"/>
  <c r="G52" i="8" l="1"/>
  <c r="F56" i="8"/>
  <c r="F6" i="14"/>
  <c r="F7" i="14"/>
  <c r="E4" i="14"/>
  <c r="H52" i="8" l="1"/>
  <c r="G56" i="8"/>
  <c r="F8" i="14"/>
  <c r="F9" i="14"/>
  <c r="I52" i="8" l="1"/>
  <c r="I56" i="8" s="1"/>
  <c r="H5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Kumar, Amit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SP 1.1 Establish the Work Objectives</t>
        </r>
      </text>
    </comment>
    <comment ref="A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QPPO : Quality &amp; Process Performance Objective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SP 1.3 Select Sub processes and Attributes</t>
        </r>
      </text>
    </comment>
    <comment ref="E51" authorId="1" shapeId="0" xr:uid="{0921A949-8055-45BD-BB04-BBBBA99C9DF3}">
      <text>
        <r>
          <rPr>
            <b/>
            <sz val="9"/>
            <color indexed="81"/>
            <rFont val="Tahoma"/>
            <charset val="1"/>
          </rPr>
          <t>Cycle 1: refers to collection of modules / Use cases / Stories / Epics</t>
        </r>
      </text>
    </comment>
    <comment ref="M51" authorId="1" shapeId="0" xr:uid="{56FDD18A-66F5-4838-89C3-69F88B5EAC49}">
      <text>
        <r>
          <rPr>
            <b/>
            <sz val="9"/>
            <color indexed="81"/>
            <rFont val="Tahoma"/>
            <charset val="1"/>
          </rPr>
          <t>Cycle 1: refers to collection of modules</t>
        </r>
      </text>
    </comment>
    <comment ref="U51" authorId="1" shapeId="0" xr:uid="{F1A8FA37-F536-4582-AF1C-97E034324EB6}">
      <text>
        <r>
          <rPr>
            <b/>
            <sz val="9"/>
            <color indexed="81"/>
            <rFont val="Tahoma"/>
            <charset val="1"/>
          </rPr>
          <t>Cycle 1: refers to collection of modules</t>
        </r>
      </text>
    </comment>
    <comment ref="J52" authorId="1" shapeId="0" xr:uid="{71428622-5AFD-4F86-ABB9-63CF2F6DB380}">
      <text>
        <r>
          <rPr>
            <b/>
            <sz val="9"/>
            <color indexed="81"/>
            <rFont val="Tahoma"/>
            <family val="2"/>
          </rPr>
          <t>At end of VDVK - design completion completion.</t>
        </r>
      </text>
    </comment>
    <comment ref="R52" authorId="1" shapeId="0" xr:uid="{9AB06240-5876-4D78-9194-817D97F79C67}">
      <text>
        <r>
          <rPr>
            <b/>
            <sz val="9"/>
            <color indexed="81"/>
            <rFont val="Tahoma"/>
            <family val="2"/>
          </rPr>
          <t>At end of Website - design completion completion.</t>
        </r>
      </text>
    </comment>
    <comment ref="Z52" authorId="1" shapeId="0" xr:uid="{A20B099D-F1AA-47A0-8917-201A668B7F8E}">
      <text>
        <r>
          <rPr>
            <b/>
            <sz val="9"/>
            <color indexed="81"/>
            <rFont val="Tahoma"/>
            <family val="2"/>
          </rPr>
          <t>At end of MSP - design completion completion.</t>
        </r>
      </text>
    </comment>
    <comment ref="D53" authorId="1" shapeId="0" xr:uid="{46B899DB-90C0-46D9-AB07-0C1E191491AE}">
      <text>
        <r>
          <rPr>
            <b/>
            <sz val="9"/>
            <color indexed="81"/>
            <rFont val="Tahoma"/>
            <family val="2"/>
          </rPr>
          <t>At end of VDVK - requirement completion.</t>
        </r>
      </text>
    </comment>
    <comment ref="L53" authorId="1" shapeId="0" xr:uid="{07A74B27-6704-41C6-A34B-60C339B24A25}">
      <text>
        <r>
          <rPr>
            <b/>
            <sz val="9"/>
            <color indexed="81"/>
            <rFont val="Tahoma"/>
            <family val="2"/>
          </rPr>
          <t>At end of Website - requirement completion.</t>
        </r>
      </text>
    </comment>
    <comment ref="T53" authorId="1" shapeId="0" xr:uid="{2F496CC3-B80A-47F4-9AF3-F51259FDAA9D}">
      <text>
        <r>
          <rPr>
            <b/>
            <sz val="9"/>
            <color indexed="81"/>
            <rFont val="Tahoma"/>
            <family val="2"/>
          </rPr>
          <t>At end of MSP - requirement completion.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Kumar, Amit</author>
  </authors>
  <commentList>
    <comment ref="A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SP 1.1 Establish the Work Objectives</t>
        </r>
      </text>
    </comment>
    <comment ref="A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QPPO : Quality &amp; Process Performance Objective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8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Probability of success of meeting the performance of COE/GSSC specific output (Y) with respect to the selected goals</t>
        </r>
      </text>
    </comment>
    <comment ref="A1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SP 1.3 Select Sub processes and Attributes</t>
        </r>
      </text>
    </comment>
    <comment ref="E48" authorId="1" shapeId="0" xr:uid="{523735A1-D63A-4AC6-A31A-4F4492ED2F5B}">
      <text>
        <r>
          <rPr>
            <b/>
            <sz val="9"/>
            <color indexed="81"/>
            <rFont val="Tahoma"/>
            <charset val="1"/>
          </rPr>
          <t>Enter Design review efficiency</t>
        </r>
      </text>
    </comment>
    <comment ref="D49" authorId="1" shapeId="0" xr:uid="{DA821CDD-F65D-4D03-B298-E73DDBEA869F}">
      <text>
        <r>
          <rPr>
            <b/>
            <sz val="9"/>
            <color indexed="81"/>
            <rFont val="Tahoma"/>
            <charset val="1"/>
          </rPr>
          <t>Enter review effort % at end of requirement phase</t>
        </r>
      </text>
    </comment>
    <comment ref="E49" authorId="1" shapeId="0" xr:uid="{11D3460D-8E16-48B0-BC1B-C994CA688617}">
      <text>
        <r>
          <rPr>
            <b/>
            <sz val="9"/>
            <color indexed="81"/>
            <rFont val="Tahoma"/>
            <charset val="1"/>
          </rPr>
          <t>Enter review effort % at end of design phase</t>
        </r>
      </text>
    </comment>
    <comment ref="F49" authorId="1" shapeId="0" xr:uid="{BD4E434D-C1FA-4AAD-A704-4085BF99FFE8}">
      <text>
        <r>
          <rPr>
            <b/>
            <sz val="9"/>
            <color indexed="81"/>
            <rFont val="Tahoma"/>
            <charset val="1"/>
          </rPr>
          <t>Enter review effort % at end of CUT phase</t>
        </r>
      </text>
    </comment>
    <comment ref="G49" authorId="1" shapeId="0" xr:uid="{5704798F-773E-4F5B-97D7-657FF139AD94}">
      <text>
        <r>
          <rPr>
            <b/>
            <sz val="9"/>
            <color indexed="81"/>
            <rFont val="Tahoma"/>
            <charset val="1"/>
          </rPr>
          <t>Enter review effort % at end of Testing phase</t>
        </r>
      </text>
    </comment>
    <comment ref="H49" authorId="1" shapeId="0" xr:uid="{0B90CEF3-104E-4DF8-BE59-1BCDE2A3987C}">
      <text>
        <r>
          <rPr>
            <b/>
            <sz val="9"/>
            <color indexed="81"/>
            <rFont val="Tahoma"/>
            <charset val="1"/>
          </rPr>
          <t>Overall review effort 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SP 2.1 Monitor the Performance of Selected Sub processes</t>
        </r>
      </text>
    </comment>
    <comment ref="A4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SP 2.3 Perform Root Cause Analysis</t>
        </r>
      </text>
    </comment>
  </commentList>
</comments>
</file>

<file path=xl/sharedStrings.xml><?xml version="1.0" encoding="utf-8"?>
<sst xmlns="http://schemas.openxmlformats.org/spreadsheetml/2006/main" count="434" uniqueCount="211">
  <si>
    <t>Reference PPM</t>
  </si>
  <si>
    <t>Goal selection criteria</t>
  </si>
  <si>
    <t>Rationale for selecting Specification</t>
  </si>
  <si>
    <t>LSL</t>
  </si>
  <si>
    <t>Mean</t>
  </si>
  <si>
    <t>Equation</t>
  </si>
  <si>
    <t>Rationale for selecting PPM</t>
  </si>
  <si>
    <t>Selected Critical X</t>
  </si>
  <si>
    <t>Criteria to identify Critical X</t>
  </si>
  <si>
    <t>Rationale for selecting X</t>
  </si>
  <si>
    <t>1. "X" should be early in life cycle.</t>
  </si>
  <si>
    <t>2. "X" should have higher coefficient</t>
  </si>
  <si>
    <t>Priority 1</t>
  </si>
  <si>
    <t>Priority 2</t>
  </si>
  <si>
    <t>No</t>
  </si>
  <si>
    <t>Selected Innovation</t>
  </si>
  <si>
    <t>PPM Validation</t>
  </si>
  <si>
    <t>Phase</t>
  </si>
  <si>
    <t>Risk Identified</t>
  </si>
  <si>
    <t>Yes/No</t>
  </si>
  <si>
    <t>Control Chart (MR + IMR) for Critical X
&lt;to be copied from Minitab&gt;</t>
  </si>
  <si>
    <t>3. "X" should be controllable.</t>
  </si>
  <si>
    <t>Process Composition</t>
  </si>
  <si>
    <t>Step 3 : Selection of PPM Equation</t>
  </si>
  <si>
    <t>Sl. No.</t>
  </si>
  <si>
    <t>Metric Name</t>
  </si>
  <si>
    <t>Actual Observation</t>
  </si>
  <si>
    <t>Causal Analysis</t>
  </si>
  <si>
    <t>Target Date</t>
  </si>
  <si>
    <t>Closure Date</t>
  </si>
  <si>
    <t>Preventive Action</t>
  </si>
  <si>
    <t>Why 1</t>
  </si>
  <si>
    <t>Why 2</t>
  </si>
  <si>
    <t>Why 3</t>
  </si>
  <si>
    <t>Why 4</t>
  </si>
  <si>
    <t>Why 5 (Root Cause)</t>
  </si>
  <si>
    <t>Inference</t>
  </si>
  <si>
    <t>Effort Variance (b)</t>
  </si>
  <si>
    <t>Selected QPPO</t>
  </si>
  <si>
    <t>Step 1 : Selection of Quality and Process Performance Objective - QPPO (this comes from Business Objectives)</t>
  </si>
  <si>
    <t>Selected By Organisation</t>
  </si>
  <si>
    <t>Closure Milestone</t>
  </si>
  <si>
    <t>Low predection Interval (%)</t>
  </si>
  <si>
    <t>High Predictive Interval</t>
  </si>
  <si>
    <t>Predicted Effort Variance (%)</t>
  </si>
  <si>
    <t>NA</t>
  </si>
  <si>
    <t>Step: Root Cause Analysis</t>
  </si>
  <si>
    <t>All points are within control, so data is stable.</t>
  </si>
  <si>
    <t>Defect Rate</t>
  </si>
  <si>
    <t>USL</t>
  </si>
  <si>
    <t>As defect rate  is the factor which needs to be controlled in order to maintain better product quality.</t>
  </si>
  <si>
    <t>Low PI</t>
  </si>
  <si>
    <t>High PI</t>
  </si>
  <si>
    <t>Actions ahead</t>
  </si>
  <si>
    <t>Standard Deviation</t>
  </si>
  <si>
    <t>Priority</t>
  </si>
  <si>
    <t>AIC</t>
  </si>
  <si>
    <t>Order of completion</t>
  </si>
  <si>
    <t>Tasks</t>
  </si>
  <si>
    <t>Planned Effort</t>
  </si>
  <si>
    <t>Actual Effort</t>
  </si>
  <si>
    <t>Total Size</t>
  </si>
  <si>
    <t>Module Development and MIS Report</t>
  </si>
  <si>
    <t>Home Page and Dashboard Development</t>
  </si>
  <si>
    <t>Module Development Productivity</t>
  </si>
  <si>
    <t>QPPO</t>
  </si>
  <si>
    <t>Predicted defect rate</t>
  </si>
  <si>
    <t xml:space="preserve">Total Size </t>
  </si>
  <si>
    <t>Defect Rate = 0.1299 - ( 0.0564 * Design Review Efficiency) - (0.7151 * % Peer Review Effort)</t>
  </si>
  <si>
    <t xml:space="preserve">PPB </t>
  </si>
  <si>
    <t>PPM FOR DEFECT RATE</t>
  </si>
  <si>
    <t>Design Review Efficiency= Design Review Defects / Design Review Effort spent</t>
  </si>
  <si>
    <t>% Review Effort = (Requirement Review Effort + Design Review Effort + Code Review Effort + Testing Review Effort) / Actual Effort</t>
  </si>
  <si>
    <t>SUMMARY OUTPUT</t>
  </si>
  <si>
    <t>Cycle - 3</t>
  </si>
  <si>
    <t>Closed</t>
  </si>
  <si>
    <t>MWnCD-827-100405</t>
  </si>
  <si>
    <t>MSK</t>
  </si>
  <si>
    <t>DOEOPWD-602-100180</t>
  </si>
  <si>
    <t>Regression Statistics</t>
  </si>
  <si>
    <t>GSnDS-826-100404</t>
  </si>
  <si>
    <t>GSDS</t>
  </si>
  <si>
    <t>Multiple R</t>
  </si>
  <si>
    <t>Cycle - 4</t>
  </si>
  <si>
    <t>DERC-1016-100897</t>
  </si>
  <si>
    <t>DERC (Website)</t>
  </si>
  <si>
    <t>R Square</t>
  </si>
  <si>
    <t>Forest-1294-101168</t>
  </si>
  <si>
    <t>Forest Department, Manipur (Website)</t>
  </si>
  <si>
    <t>Adjusted R Square</t>
  </si>
  <si>
    <t>Cycle-4</t>
  </si>
  <si>
    <t>Testing</t>
  </si>
  <si>
    <t>eGOV-FY2021-0025</t>
  </si>
  <si>
    <t>ODISHA SWF</t>
  </si>
  <si>
    <t>Standard Error</t>
  </si>
  <si>
    <t>eGOV-FY2021-0004</t>
  </si>
  <si>
    <t>ODISHA ONE</t>
  </si>
  <si>
    <t>Observations</t>
  </si>
  <si>
    <t>UAT</t>
  </si>
  <si>
    <t xml:space="preserve"> eGOV-FY2021-0009</t>
  </si>
  <si>
    <t>DOC</t>
  </si>
  <si>
    <t>Cycle-5</t>
  </si>
  <si>
    <t>ANOVA</t>
  </si>
  <si>
    <t xml:space="preserve">eGOV-FY2021-0001 </t>
  </si>
  <si>
    <t>NCPUL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</si>
  <si>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</si>
  <si>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</si>
  <si>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</si>
  <si>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</si>
  <si>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</si>
  <si>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</si>
  <si>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</si>
  <si>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</si>
  <si>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</si>
  <si>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</si>
  <si>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</si>
  <si>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</si>
  <si>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</si>
  <si>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</si>
  <si>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</si>
  <si>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</si>
  <si>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Design Review Efficiency</t>
  </si>
  <si>
    <t>% Peer Review Effort</t>
  </si>
  <si>
    <t>Review Effort %</t>
  </si>
  <si>
    <t>PPM FOR EV</t>
  </si>
  <si>
    <t>Effort Variance (revised)</t>
  </si>
  <si>
    <t>Design Integration with appli_1</t>
  </si>
  <si>
    <t>Requriement Analysis &amp; SRS doc_1</t>
  </si>
  <si>
    <t>Code review efficiency</t>
  </si>
  <si>
    <t>HPL-651-100536</t>
  </si>
  <si>
    <t>HPL</t>
  </si>
  <si>
    <t>APMS-632-100210</t>
  </si>
  <si>
    <t>APMS</t>
  </si>
  <si>
    <t>1.133 - 3.876 * Design integration with application - 0.967* Requirement analysis and SRS documentation - 2.676 * Code review efficiency</t>
  </si>
  <si>
    <t>Effort variation is the factor which needs to be controlled in order to maintain Net Margin of the project.</t>
  </si>
  <si>
    <t>Effort Variance (b) = 1.133 - 3.876 * Design integration with application effort % - 0.967* Requirement analysis and SRS documentation effort % - 2.676 * Code review efficiency</t>
  </si>
  <si>
    <t>Design integration with application effort %, Requirement analysis and SRS documentation effort %, Code review efficiency</t>
  </si>
  <si>
    <t>From Baselines</t>
  </si>
  <si>
    <t>For Planning (Refer Project Schedule)</t>
  </si>
  <si>
    <t>Defect Rate = 0.1299 - ( 0.0564 x Design Review Efficiency) - (0.7151 x Review Effort%)
Y = f(x)</t>
  </si>
  <si>
    <t>Goal Setting</t>
  </si>
  <si>
    <t>Current Probability of Success</t>
  </si>
  <si>
    <t>Goal Setting for Sub Process</t>
  </si>
  <si>
    <t>Effort Variation</t>
  </si>
  <si>
    <t>Design Integration with application %</t>
  </si>
  <si>
    <t>Requriement Analysis &amp; SRS documentation %</t>
  </si>
  <si>
    <t>% Review Effort</t>
  </si>
  <si>
    <t>RCA for goal not met</t>
  </si>
  <si>
    <t xml:space="preserve"> Sub Process (Critical X) Monitoring - Using Control Charts &amp; Process Capability Analysis</t>
  </si>
  <si>
    <t>Through sensitivity analysis</t>
  </si>
  <si>
    <t>PPB v 4.0</t>
  </si>
  <si>
    <t>Code Review Efficiency</t>
  </si>
  <si>
    <t>Data Points</t>
  </si>
  <si>
    <t>Design review efficiency is less. Review effort % is less we need to plan to enhance design review efficiency and review percentage.</t>
  </si>
  <si>
    <t>Process</t>
  </si>
  <si>
    <t>Sub-Process</t>
  </si>
  <si>
    <t>Sub-process X Factors</t>
  </si>
  <si>
    <t>Method Names</t>
  </si>
  <si>
    <t>Code Review</t>
  </si>
  <si>
    <t>Requirement Development and Analysis</t>
  </si>
  <si>
    <t>SDLC</t>
  </si>
  <si>
    <t>Requirement Development and Analysis %</t>
  </si>
  <si>
    <t>1. Detailed Prototype
2. High Level Wireframe</t>
  </si>
  <si>
    <t>1. Reverse Presentation
2. Wireframe Demonstration</t>
  </si>
  <si>
    <t>Design and Development</t>
  </si>
  <si>
    <t>Process Composition (What-If Analysis)</t>
  </si>
  <si>
    <t>WHAT-IF Analysis</t>
  </si>
  <si>
    <t>Case 1</t>
  </si>
  <si>
    <t>Case 2</t>
  </si>
  <si>
    <t>Case 3</t>
  </si>
  <si>
    <t>Case 4</t>
  </si>
  <si>
    <t>Probability Of Success</t>
  </si>
  <si>
    <t>What IF Analysis</t>
  </si>
  <si>
    <t>Probability Of Success - Through Simulation</t>
  </si>
  <si>
    <t>Detailed Prototype &amp; Reverse Presentation</t>
  </si>
  <si>
    <t>Detailed Prototype &amp; Wireframe Demonstration</t>
  </si>
  <si>
    <t>Highlevel Wireframe &amp; Reverse Presentation</t>
  </si>
  <si>
    <t>Highlevel Wireframe &amp; Wireframe Demonstration</t>
  </si>
  <si>
    <t>Yes</t>
  </si>
  <si>
    <t>Step 2 : Goal Setting for selected QPPO and Subprocesses (Probability of Success)</t>
  </si>
  <si>
    <t xml:space="preserve">Organisational Level baselines </t>
  </si>
  <si>
    <t>Based on PPB 3 and PPB 4 data and Simulation outcomes.</t>
  </si>
  <si>
    <t>Step 4 : Process Composition and Selection of Innovation for X factors</t>
  </si>
  <si>
    <t>Step 5 : PPM Monitoring</t>
  </si>
  <si>
    <t>Through Sensitivity Analysis. Because 'Design Review Efficiency" is a part of design and development milestone. This can be controlled.</t>
  </si>
  <si>
    <t>Peer Review</t>
  </si>
  <si>
    <t>1. Review by PM
2. Review by PM and SA</t>
  </si>
  <si>
    <t>Design Review by PM</t>
  </si>
  <si>
    <t>Design Review by PM and SA</t>
  </si>
  <si>
    <t>Project Name</t>
  </si>
  <si>
    <t>Monitoring Milestone 1 - (At the end of requirement phase)</t>
  </si>
  <si>
    <t>Monitoring Milestone 2 - (At the end of code review - Cycle 1)</t>
  </si>
  <si>
    <t>Monitoring Milestone 3 - (At the end of code review - Cycle 2)</t>
  </si>
  <si>
    <t>Monitoring Milestone 4 - (At the end of code review - Cycle 3)</t>
  </si>
  <si>
    <t>Monitoring Milestone 5 - (At the end of code review - Cycle 4)</t>
  </si>
  <si>
    <t>From Planning (Refer combined Project Schedule)</t>
  </si>
  <si>
    <t>Monitoring Milestone 5 - (At the end of code review - Cycle 5)</t>
  </si>
  <si>
    <t>Sub-Project or Module Level</t>
  </si>
  <si>
    <t>Monitoring Milestone 6 - (At the end of design and development phase)</t>
  </si>
  <si>
    <t>Cycle 1</t>
  </si>
  <si>
    <t>Cycle 2</t>
  </si>
  <si>
    <t>Cycle 3</t>
  </si>
  <si>
    <t>Cycle 4</t>
  </si>
  <si>
    <t>Cycle 5</t>
  </si>
  <si>
    <t>Monitoring Milestone 1 - (At end of requirement phase)</t>
  </si>
  <si>
    <t>Actual Values</t>
  </si>
  <si>
    <t>Monitoring Milestone 1 - (At end of Design phase)</t>
  </si>
  <si>
    <t>Monitoring Milestone 1 - (At end of CUT phase)</t>
  </si>
  <si>
    <t>Monitoring Milestone 1 - (At end of Testing phase)</t>
  </si>
  <si>
    <t>Probability of Success</t>
  </si>
  <si>
    <t>As per Monitoring milestones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</si>
</sst>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4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</font>
    <font>
      <sz val="10"/>
      <color rgb="FF000000"/>
      <name val="Arial"/>
      <family val="2"/>
    </font>
    <font>
      <b/>
      <sz val="11"/>
      <name val="Calibri"/>
      <family val="2"/>
    </font>
    <font>
      <b/>
      <sz val="14"/>
      <name val="Arial"/>
      <family val="2"/>
    </font>
    <font>
      <b/>
      <sz val="14"/>
      <color indexed="17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</font>
    <font>
      <sz val="10"/>
      <color theme="1"/>
      <name val="Cambria"/>
      <family val="1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color indexed="81"/>
      <name val="Tahoma"/>
      <charset val="1"/>
    </font>
  </fonts>
  <fills count="25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E799"/>
        <bgColor rgb="FFFFE799"/>
      </patternFill>
    </fill>
    <fill>
      <patternFill patternType="solid">
        <fgColor rgb="FFE2EFD9"/>
        <bgColor rgb="FFE2EFD9"/>
      </patternFill>
    </fill>
    <fill>
      <patternFill patternType="solid">
        <fgColor rgb="FF4A86E8"/>
        <bgColor rgb="FF4A86E8"/>
      </patternFill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FFFF00"/>
        <bgColor rgb="FFFFFFF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4">
    <xf numFmtId="0" fontId="0" fillId="0" borderId="0"/>
    <xf numFmtId="9" fontId="12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26" fillId="0" borderId="0"/>
    <xf numFmtId="9" fontId="1" fillId="0" borderId="0" applyFont="0" applyFill="0" applyBorder="0" applyAlignment="0" applyProtection="0"/>
    <xf numFmtId="0" fontId="6" fillId="0" borderId="0"/>
  </cellStyleXfs>
  <cellXfs count="275">
    <xf numFmtId="0" fontId="0" fillId="0" borderId="0" xfId="0" applyFont="1" applyAlignment="1"/>
    <xf numFmtId="0" fontId="0" fillId="0" borderId="0" xfId="0" applyFont="1" applyAlignment="1" applyProtection="1">
      <protection hidden="1"/>
    </xf>
    <xf numFmtId="0" fontId="9" fillId="0" borderId="0" xfId="0" applyFont="1" applyProtection="1">
      <protection hidden="1"/>
    </xf>
    <xf numFmtId="0" fontId="10" fillId="4" borderId="1" xfId="0" applyFont="1" applyFill="1" applyBorder="1" applyAlignment="1" applyProtection="1">
      <alignment horizontal="right" vertical="center"/>
      <protection hidden="1"/>
    </xf>
    <xf numFmtId="0" fontId="11" fillId="0" borderId="0" xfId="0" applyFont="1" applyProtection="1">
      <protection hidden="1"/>
    </xf>
    <xf numFmtId="0" fontId="9" fillId="0" borderId="0" xfId="0" applyFont="1" applyAlignment="1" applyProtection="1">
      <protection hidden="1"/>
    </xf>
    <xf numFmtId="0" fontId="10" fillId="4" borderId="7" xfId="0" applyFont="1" applyFill="1" applyBorder="1" applyAlignment="1" applyProtection="1">
      <alignment horizontal="center" vertical="center" wrapText="1"/>
      <protection hidden="1"/>
    </xf>
    <xf numFmtId="2" fontId="9" fillId="3" borderId="7" xfId="0" applyNumberFormat="1" applyFont="1" applyFill="1" applyBorder="1" applyAlignment="1" applyProtection="1">
      <alignment horizontal="center" vertical="center" wrapText="1"/>
      <protection hidden="1"/>
    </xf>
    <xf numFmtId="0" fontId="10" fillId="4" borderId="7" xfId="0" applyFont="1" applyFill="1" applyBorder="1" applyAlignment="1" applyProtection="1">
      <alignment horizontal="right" vertical="center" wrapText="1"/>
      <protection hidden="1"/>
    </xf>
    <xf numFmtId="0" fontId="9" fillId="0" borderId="7" xfId="0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0" fillId="0" borderId="0" xfId="0" applyFont="1" applyAlignment="1" applyProtection="1">
      <alignment vertical="center"/>
      <protection hidden="1"/>
    </xf>
    <xf numFmtId="0" fontId="9" fillId="0" borderId="0" xfId="0" applyFont="1" applyBorder="1" applyAlignment="1" applyProtection="1">
      <alignment horizontal="right"/>
      <protection hidden="1"/>
    </xf>
    <xf numFmtId="0" fontId="9" fillId="0" borderId="0" xfId="0" applyFont="1" applyBorder="1" applyAlignment="1" applyProtection="1">
      <protection hidden="1"/>
    </xf>
    <xf numFmtId="0" fontId="6" fillId="0" borderId="0" xfId="0" applyFont="1" applyBorder="1" applyProtection="1">
      <protection hidden="1"/>
    </xf>
    <xf numFmtId="2" fontId="9" fillId="0" borderId="0" xfId="0" applyNumberFormat="1" applyFont="1" applyBorder="1" applyAlignment="1" applyProtection="1">
      <protection hidden="1"/>
    </xf>
    <xf numFmtId="2" fontId="9" fillId="0" borderId="0" xfId="0" applyNumberFormat="1" applyFont="1" applyBorder="1" applyProtection="1">
      <protection hidden="1"/>
    </xf>
    <xf numFmtId="9" fontId="9" fillId="0" borderId="0" xfId="1" applyFont="1" applyBorder="1" applyProtection="1">
      <protection hidden="1"/>
    </xf>
    <xf numFmtId="0" fontId="9" fillId="0" borderId="0" xfId="0" applyFont="1" applyBorder="1" applyProtection="1">
      <protection hidden="1"/>
    </xf>
    <xf numFmtId="0" fontId="0" fillId="0" borderId="0" xfId="0" applyFont="1" applyBorder="1" applyAlignment="1" applyProtection="1">
      <protection hidden="1"/>
    </xf>
    <xf numFmtId="0" fontId="0" fillId="0" borderId="7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0" fillId="0" borderId="0" xfId="0" applyFont="1" applyBorder="1" applyAlignment="1">
      <alignment horizontal="left" vertical="top" wrapText="1"/>
    </xf>
    <xf numFmtId="0" fontId="10" fillId="4" borderId="6" xfId="0" applyFont="1" applyFill="1" applyBorder="1" applyAlignment="1" applyProtection="1">
      <alignment horizontal="right" vertical="center" wrapText="1"/>
      <protection hidden="1"/>
    </xf>
    <xf numFmtId="0" fontId="10" fillId="4" borderId="6" xfId="0" applyFont="1" applyFill="1" applyBorder="1" applyAlignment="1" applyProtection="1">
      <alignment horizontal="right" vertical="center"/>
      <protection hidden="1"/>
    </xf>
    <xf numFmtId="0" fontId="10" fillId="0" borderId="0" xfId="0" applyFont="1" applyFill="1" applyBorder="1" applyAlignment="1" applyProtection="1">
      <alignment horizontal="right" vertical="center"/>
      <protection hidden="1"/>
    </xf>
    <xf numFmtId="0" fontId="15" fillId="0" borderId="0" xfId="0" applyFont="1" applyFill="1" applyBorder="1" applyAlignment="1" applyProtection="1">
      <alignment horizontal="left" wrapText="1"/>
      <protection hidden="1"/>
    </xf>
    <xf numFmtId="0" fontId="0" fillId="0" borderId="0" xfId="0" applyFont="1" applyFill="1" applyAlignment="1" applyProtection="1">
      <protection hidden="1"/>
    </xf>
    <xf numFmtId="0" fontId="9" fillId="0" borderId="0" xfId="0" applyFont="1" applyFill="1" applyProtection="1">
      <protection hidden="1"/>
    </xf>
    <xf numFmtId="0" fontId="9" fillId="4" borderId="7" xfId="0" applyFont="1" applyFill="1" applyBorder="1" applyAlignment="1" applyProtection="1">
      <alignment horizontal="center" vertical="center" wrapText="1"/>
      <protection locked="0"/>
    </xf>
    <xf numFmtId="0" fontId="0" fillId="0" borderId="7" xfId="0" applyBorder="1" applyAlignment="1">
      <alignment wrapText="1"/>
    </xf>
    <xf numFmtId="2" fontId="21" fillId="3" borderId="7" xfId="0" applyNumberFormat="1" applyFont="1" applyFill="1" applyBorder="1" applyAlignment="1" applyProtection="1">
      <alignment horizontal="center" vertical="center" wrapText="1"/>
      <protection hidden="1"/>
    </xf>
    <xf numFmtId="0" fontId="18" fillId="8" borderId="18" xfId="0" applyFont="1" applyFill="1" applyBorder="1" applyAlignment="1" applyProtection="1">
      <alignment horizontal="center" vertical="center" wrapText="1"/>
    </xf>
    <xf numFmtId="0" fontId="9" fillId="0" borderId="7" xfId="0" applyFont="1" applyBorder="1" applyAlignment="1" applyProtection="1">
      <alignment horizontal="center"/>
      <protection hidden="1"/>
    </xf>
    <xf numFmtId="0" fontId="10" fillId="4" borderId="6" xfId="0" applyFont="1" applyFill="1" applyBorder="1" applyAlignment="1" applyProtection="1">
      <alignment horizontal="right" vertical="center" wrapText="1"/>
      <protection hidden="1"/>
    </xf>
    <xf numFmtId="0" fontId="9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0" fillId="0" borderId="0" xfId="0" applyFont="1" applyAlignment="1" applyProtection="1">
      <alignment horizontal="center"/>
      <protection hidden="1"/>
    </xf>
    <xf numFmtId="0" fontId="6" fillId="0" borderId="0" xfId="0" applyFont="1" applyProtection="1">
      <protection hidden="1"/>
    </xf>
    <xf numFmtId="0" fontId="9" fillId="0" borderId="0" xfId="0" applyFont="1" applyFill="1" applyBorder="1" applyAlignment="1" applyProtection="1">
      <alignment horizontal="left" wrapText="1"/>
      <protection hidden="1"/>
    </xf>
    <xf numFmtId="2" fontId="9" fillId="0" borderId="7" xfId="0" applyNumberFormat="1" applyFont="1" applyFill="1" applyBorder="1" applyAlignment="1" applyProtection="1">
      <alignment horizontal="center" vertical="center" wrapText="1"/>
      <protection hidden="1"/>
    </xf>
    <xf numFmtId="2" fontId="9" fillId="0" borderId="7" xfId="0" applyNumberFormat="1" applyFont="1" applyFill="1" applyBorder="1" applyAlignment="1" applyProtection="1">
      <alignment horizontal="center" vertical="top" wrapText="1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2" fontId="9" fillId="0" borderId="7" xfId="0" applyNumberFormat="1" applyFont="1" applyFill="1" applyBorder="1" applyAlignment="1" applyProtection="1">
      <alignment horizontal="left" vertical="top" wrapText="1"/>
      <protection hidden="1"/>
    </xf>
    <xf numFmtId="0" fontId="9" fillId="0" borderId="7" xfId="0" applyFont="1" applyBorder="1" applyAlignment="1" applyProtection="1">
      <alignment horizontal="center"/>
      <protection hidden="1"/>
    </xf>
    <xf numFmtId="0" fontId="18" fillId="8" borderId="19" xfId="0" applyFont="1" applyFill="1" applyBorder="1" applyAlignment="1" applyProtection="1">
      <alignment horizontal="center" vertical="center" wrapText="1"/>
    </xf>
    <xf numFmtId="0" fontId="10" fillId="0" borderId="7" xfId="0" applyFont="1" applyFill="1" applyBorder="1" applyAlignment="1" applyProtection="1">
      <alignment horizontal="right" vertical="top" wrapText="1"/>
      <protection hidden="1"/>
    </xf>
    <xf numFmtId="0" fontId="0" fillId="0" borderId="0" xfId="0" applyFont="1" applyFill="1" applyAlignment="1" applyProtection="1">
      <alignment vertical="top"/>
      <protection hidden="1"/>
    </xf>
    <xf numFmtId="0" fontId="9" fillId="0" borderId="0" xfId="0" applyFont="1" applyFill="1" applyAlignment="1" applyProtection="1">
      <alignment vertical="top"/>
      <protection hidden="1"/>
    </xf>
    <xf numFmtId="0" fontId="0" fillId="0" borderId="0" xfId="0" applyFont="1" applyAlignment="1">
      <alignment horizontal="center"/>
    </xf>
    <xf numFmtId="0" fontId="20" fillId="13" borderId="0" xfId="0" applyFont="1" applyFill="1" applyAlignment="1">
      <alignment horizontal="center" vertical="center"/>
    </xf>
    <xf numFmtId="0" fontId="0" fillId="14" borderId="7" xfId="0" applyFont="1" applyFill="1" applyBorder="1" applyAlignment="1">
      <alignment horizontal="center"/>
    </xf>
    <xf numFmtId="0" fontId="12" fillId="14" borderId="7" xfId="0" applyFont="1" applyFill="1" applyBorder="1" applyAlignment="1"/>
    <xf numFmtId="0" fontId="0" fillId="14" borderId="7" xfId="0" applyFont="1" applyFill="1" applyBorder="1" applyAlignment="1"/>
    <xf numFmtId="0" fontId="12" fillId="0" borderId="0" xfId="0" applyFont="1" applyAlignment="1"/>
    <xf numFmtId="0" fontId="20" fillId="13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Fill="1"/>
    <xf numFmtId="0" fontId="22" fillId="0" borderId="7" xfId="0" applyFont="1" applyBorder="1" applyAlignment="1">
      <alignment horizontal="center" vertical="top"/>
    </xf>
    <xf numFmtId="0" fontId="22" fillId="15" borderId="7" xfId="0" applyFont="1" applyFill="1" applyBorder="1" applyAlignment="1">
      <alignment horizontal="center" vertical="top" wrapText="1"/>
    </xf>
    <xf numFmtId="17" fontId="23" fillId="0" borderId="16" xfId="0" applyNumberFormat="1" applyFont="1" applyBorder="1" applyAlignment="1">
      <alignment horizontal="left" vertical="top" wrapText="1"/>
    </xf>
    <xf numFmtId="0" fontId="23" fillId="0" borderId="16" xfId="0" applyFont="1" applyBorder="1" applyAlignment="1">
      <alignment horizontal="left" vertical="top" wrapText="1"/>
    </xf>
    <xf numFmtId="0" fontId="23" fillId="0" borderId="16" xfId="0" applyFont="1" applyBorder="1" applyAlignment="1">
      <alignment horizontal="left" vertical="top"/>
    </xf>
    <xf numFmtId="0" fontId="24" fillId="0" borderId="16" xfId="0" applyFont="1" applyBorder="1" applyAlignment="1">
      <alignment horizontal="left" vertical="top"/>
    </xf>
    <xf numFmtId="0" fontId="0" fillId="0" borderId="7" xfId="0" applyFont="1" applyBorder="1" applyAlignment="1">
      <alignment horizontal="center"/>
    </xf>
    <xf numFmtId="17" fontId="23" fillId="0" borderId="7" xfId="0" applyNumberFormat="1" applyFont="1" applyBorder="1" applyAlignment="1">
      <alignment horizontal="left" vertical="top" wrapText="1"/>
    </xf>
    <xf numFmtId="0" fontId="23" fillId="0" borderId="7" xfId="0" applyFont="1" applyBorder="1" applyAlignment="1">
      <alignment horizontal="left" vertical="top" wrapText="1"/>
    </xf>
    <xf numFmtId="0" fontId="23" fillId="0" borderId="7" xfId="0" applyFont="1" applyBorder="1" applyAlignment="1">
      <alignment horizontal="left" vertical="top"/>
    </xf>
    <xf numFmtId="0" fontId="24" fillId="0" borderId="7" xfId="0" applyFont="1" applyBorder="1" applyAlignment="1">
      <alignment horizontal="left" vertical="top"/>
    </xf>
    <xf numFmtId="0" fontId="25" fillId="0" borderId="15" xfId="0" applyFont="1" applyFill="1" applyBorder="1" applyAlignment="1">
      <alignment horizontal="centerContinuous"/>
    </xf>
    <xf numFmtId="0" fontId="0" fillId="0" borderId="0" xfId="0" applyFill="1" applyBorder="1" applyAlignment="1"/>
    <xf numFmtId="0" fontId="0" fillId="16" borderId="0" xfId="0" applyFill="1" applyBorder="1" applyAlignment="1"/>
    <xf numFmtId="0" fontId="0" fillId="0" borderId="31" xfId="0" applyFill="1" applyBorder="1" applyAlignment="1"/>
    <xf numFmtId="0" fontId="23" fillId="0" borderId="18" xfId="0" applyFont="1" applyBorder="1" applyAlignment="1">
      <alignment horizontal="left" vertical="top" wrapText="1"/>
    </xf>
    <xf numFmtId="0" fontId="23" fillId="0" borderId="18" xfId="0" applyFont="1" applyBorder="1" applyAlignment="1">
      <alignment horizontal="left" vertical="top"/>
    </xf>
    <xf numFmtId="0" fontId="25" fillId="0" borderId="15" xfId="0" applyFont="1" applyFill="1" applyBorder="1" applyAlignment="1">
      <alignment horizontal="center"/>
    </xf>
    <xf numFmtId="0" fontId="0" fillId="17" borderId="0" xfId="0" applyFill="1"/>
    <xf numFmtId="0" fontId="25" fillId="16" borderId="15" xfId="0" applyFont="1" applyFill="1" applyBorder="1" applyAlignment="1">
      <alignment horizontal="center"/>
    </xf>
    <xf numFmtId="0" fontId="0" fillId="16" borderId="31" xfId="0" applyFill="1" applyBorder="1" applyAlignment="1"/>
    <xf numFmtId="0" fontId="0" fillId="0" borderId="7" xfId="0" applyBorder="1"/>
    <xf numFmtId="0" fontId="0" fillId="16" borderId="0" xfId="0" applyFill="1"/>
    <xf numFmtId="0" fontId="22" fillId="0" borderId="7" xfId="0" applyFont="1" applyBorder="1" applyAlignment="1">
      <alignment horizontal="center" vertical="top" wrapText="1"/>
    </xf>
    <xf numFmtId="0" fontId="0" fillId="0" borderId="7" xfId="0" applyBorder="1" applyAlignment="1">
      <alignment horizontal="center" wrapText="1"/>
    </xf>
    <xf numFmtId="0" fontId="25" fillId="0" borderId="15" xfId="0" applyFont="1" applyBorder="1" applyAlignment="1">
      <alignment horizontal="centerContinuous"/>
    </xf>
    <xf numFmtId="17" fontId="23" fillId="0" borderId="14" xfId="0" applyNumberFormat="1" applyFont="1" applyBorder="1" applyAlignment="1">
      <alignment horizontal="left" vertical="top" wrapText="1"/>
    </xf>
    <xf numFmtId="0" fontId="23" fillId="0" borderId="14" xfId="0" applyFont="1" applyBorder="1" applyAlignment="1">
      <alignment horizontal="left" vertical="top" wrapText="1"/>
    </xf>
    <xf numFmtId="0" fontId="0" fillId="0" borderId="31" xfId="0" applyBorder="1"/>
    <xf numFmtId="0" fontId="25" fillId="0" borderId="15" xfId="0" applyFont="1" applyBorder="1" applyAlignment="1">
      <alignment horizontal="center"/>
    </xf>
    <xf numFmtId="0" fontId="0" fillId="16" borderId="31" xfId="0" applyFill="1" applyBorder="1"/>
    <xf numFmtId="0" fontId="0" fillId="16" borderId="0" xfId="0" applyFill="1" applyBorder="1"/>
    <xf numFmtId="0" fontId="9" fillId="0" borderId="0" xfId="0" applyFont="1" applyBorder="1" applyAlignment="1" applyProtection="1">
      <alignment horizontal="left" vertical="center"/>
      <protection hidden="1"/>
    </xf>
    <xf numFmtId="0" fontId="6" fillId="0" borderId="0" xfId="0" applyFont="1" applyBorder="1" applyAlignment="1" applyProtection="1">
      <alignment vertical="center"/>
      <protection hidden="1"/>
    </xf>
    <xf numFmtId="0" fontId="6" fillId="0" borderId="0" xfId="0" applyFont="1" applyBorder="1" applyAlignment="1" applyProtection="1">
      <alignment vertical="center" wrapText="1"/>
      <protection hidden="1"/>
    </xf>
    <xf numFmtId="0" fontId="10" fillId="4" borderId="1" xfId="0" applyFont="1" applyFill="1" applyBorder="1" applyAlignment="1" applyProtection="1">
      <alignment horizontal="center" vertical="center" wrapText="1"/>
      <protection hidden="1"/>
    </xf>
    <xf numFmtId="0" fontId="12" fillId="0" borderId="0" xfId="0" applyFont="1" applyBorder="1" applyAlignment="1">
      <alignment horizontal="center" vertical="top" wrapText="1"/>
    </xf>
    <xf numFmtId="0" fontId="9" fillId="0" borderId="0" xfId="0" applyFont="1" applyBorder="1" applyAlignment="1" applyProtection="1">
      <alignment horizontal="center"/>
      <protection hidden="1"/>
    </xf>
    <xf numFmtId="0" fontId="27" fillId="18" borderId="7" xfId="0" applyFont="1" applyFill="1" applyBorder="1" applyAlignment="1">
      <alignment wrapText="1"/>
    </xf>
    <xf numFmtId="10" fontId="0" fillId="0" borderId="7" xfId="1" applyNumberFormat="1" applyFont="1" applyBorder="1"/>
    <xf numFmtId="164" fontId="0" fillId="0" borderId="7" xfId="0" applyNumberFormat="1" applyBorder="1" applyAlignment="1">
      <alignment horizontal="center" vertical="center"/>
    </xf>
    <xf numFmtId="0" fontId="0" fillId="18" borderId="7" xfId="0" applyFill="1" applyBorder="1"/>
    <xf numFmtId="10" fontId="0" fillId="0" borderId="7" xfId="1" applyNumberFormat="1" applyFont="1" applyBorder="1" applyAlignment="1">
      <alignment horizontal="center" vertical="center"/>
    </xf>
    <xf numFmtId="0" fontId="20" fillId="0" borderId="27" xfId="0" applyFont="1" applyFill="1" applyBorder="1" applyAlignment="1"/>
    <xf numFmtId="0" fontId="20" fillId="0" borderId="0" xfId="0" applyFont="1" applyFill="1" applyBorder="1" applyAlignment="1"/>
    <xf numFmtId="0" fontId="20" fillId="0" borderId="30" xfId="0" applyFont="1" applyFill="1" applyBorder="1" applyAlignment="1"/>
    <xf numFmtId="0" fontId="20" fillId="0" borderId="12" xfId="0" applyFont="1" applyFill="1" applyBorder="1" applyAlignment="1"/>
    <xf numFmtId="0" fontId="20" fillId="0" borderId="22" xfId="0" applyFont="1" applyFill="1" applyBorder="1" applyAlignment="1"/>
    <xf numFmtId="0" fontId="12" fillId="0" borderId="0" xfId="0" applyFont="1" applyFill="1" applyBorder="1" applyAlignment="1">
      <alignment vertical="top" wrapText="1"/>
    </xf>
    <xf numFmtId="0" fontId="9" fillId="0" borderId="0" xfId="0" applyFont="1" applyFill="1" applyBorder="1" applyProtection="1">
      <protection hidden="1"/>
    </xf>
    <xf numFmtId="0" fontId="0" fillId="0" borderId="0" xfId="0" applyFont="1" applyFill="1" applyBorder="1" applyAlignment="1" applyProtection="1">
      <protection hidden="1"/>
    </xf>
    <xf numFmtId="0" fontId="9" fillId="0" borderId="7" xfId="0" applyFont="1" applyBorder="1" applyAlignment="1" applyProtection="1">
      <protection hidden="1"/>
    </xf>
    <xf numFmtId="0" fontId="11" fillId="0" borderId="7" xfId="0" applyFont="1" applyBorder="1" applyAlignment="1" applyProtection="1">
      <alignment horizontal="center"/>
      <protection hidden="1"/>
    </xf>
    <xf numFmtId="0" fontId="0" fillId="0" borderId="7" xfId="0" applyFont="1" applyFill="1" applyBorder="1" applyAlignment="1" applyProtection="1">
      <alignment horizontal="center"/>
      <protection hidden="1"/>
    </xf>
    <xf numFmtId="15" fontId="0" fillId="0" borderId="7" xfId="0" applyNumberFormat="1" applyFill="1" applyBorder="1" applyAlignment="1">
      <alignment horizontal="center" vertical="center" wrapText="1"/>
    </xf>
    <xf numFmtId="1" fontId="0" fillId="0" borderId="7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9" fillId="0" borderId="0" xfId="0" applyFont="1" applyFill="1" applyBorder="1" applyAlignment="1" applyProtection="1">
      <alignment vertical="center"/>
    </xf>
    <xf numFmtId="0" fontId="18" fillId="8" borderId="35" xfId="0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 applyProtection="1">
      <alignment horizontal="center" vertical="center"/>
      <protection hidden="1"/>
    </xf>
    <xf numFmtId="0" fontId="6" fillId="0" borderId="0" xfId="0" applyFont="1" applyBorder="1" applyAlignment="1" applyProtection="1">
      <protection hidden="1"/>
    </xf>
    <xf numFmtId="0" fontId="10" fillId="0" borderId="0" xfId="0" applyFont="1" applyFill="1" applyBorder="1" applyAlignment="1" applyProtection="1">
      <alignment horizontal="center" vertical="center"/>
      <protection hidden="1"/>
    </xf>
    <xf numFmtId="0" fontId="9" fillId="0" borderId="0" xfId="0" applyFont="1" applyFill="1" applyBorder="1" applyAlignment="1" applyProtection="1">
      <protection hidden="1"/>
    </xf>
    <xf numFmtId="2" fontId="9" fillId="0" borderId="0" xfId="0" applyNumberFormat="1" applyFont="1" applyFill="1" applyBorder="1" applyAlignment="1" applyProtection="1">
      <protection hidden="1"/>
    </xf>
    <xf numFmtId="0" fontId="6" fillId="0" borderId="0" xfId="0" applyFont="1" applyFill="1" applyBorder="1" applyAlignment="1" applyProtection="1">
      <protection hidden="1"/>
    </xf>
    <xf numFmtId="0" fontId="6" fillId="0" borderId="0" xfId="0" applyFont="1" applyFill="1" applyBorder="1" applyProtection="1">
      <protection hidden="1"/>
    </xf>
    <xf numFmtId="2" fontId="9" fillId="0" borderId="0" xfId="0" applyNumberFormat="1" applyFont="1" applyFill="1" applyBorder="1" applyProtection="1">
      <protection hidden="1"/>
    </xf>
    <xf numFmtId="9" fontId="9" fillId="0" borderId="0" xfId="1" applyFont="1" applyFill="1" applyBorder="1" applyProtection="1">
      <protection hidden="1"/>
    </xf>
    <xf numFmtId="0" fontId="8" fillId="0" borderId="0" xfId="0" applyFont="1" applyFill="1" applyBorder="1" applyAlignment="1" applyProtection="1">
      <alignment horizontal="left"/>
      <protection hidden="1"/>
    </xf>
    <xf numFmtId="0" fontId="9" fillId="0" borderId="1" xfId="0" applyFont="1" applyBorder="1" applyAlignment="1" applyProtection="1">
      <alignment horizontal="right"/>
      <protection hidden="1"/>
    </xf>
    <xf numFmtId="10" fontId="9" fillId="0" borderId="0" xfId="0" applyNumberFormat="1" applyFont="1" applyFill="1" applyBorder="1" applyAlignment="1" applyProtection="1">
      <alignment horizontal="center"/>
      <protection hidden="1"/>
    </xf>
    <xf numFmtId="0" fontId="9" fillId="0" borderId="0" xfId="0" applyFont="1" applyFill="1" applyBorder="1" applyAlignment="1" applyProtection="1">
      <alignment horizontal="center"/>
      <protection hidden="1"/>
    </xf>
    <xf numFmtId="2" fontId="9" fillId="0" borderId="0" xfId="0" applyNumberFormat="1" applyFont="1" applyFill="1" applyBorder="1" applyAlignment="1" applyProtection="1">
      <alignment horizontal="center"/>
      <protection hidden="1"/>
    </xf>
    <xf numFmtId="9" fontId="9" fillId="0" borderId="0" xfId="1" applyFont="1" applyFill="1" applyBorder="1" applyAlignment="1" applyProtection="1">
      <alignment horizontal="center"/>
      <protection hidden="1"/>
    </xf>
    <xf numFmtId="0" fontId="0" fillId="0" borderId="0" xfId="0" applyFill="1" applyBorder="1"/>
    <xf numFmtId="0" fontId="0" fillId="0" borderId="0" xfId="0" applyFont="1" applyFill="1" applyBorder="1" applyAlignment="1">
      <alignment horizontal="center"/>
    </xf>
    <xf numFmtId="164" fontId="9" fillId="0" borderId="0" xfId="0" applyNumberFormat="1" applyFont="1" applyProtection="1">
      <protection hidden="1"/>
    </xf>
    <xf numFmtId="0" fontId="18" fillId="8" borderId="32" xfId="0" applyFont="1" applyFill="1" applyBorder="1" applyAlignment="1" applyProtection="1">
      <alignment horizontal="center" vertical="center" wrapText="1"/>
    </xf>
    <xf numFmtId="0" fontId="9" fillId="11" borderId="7" xfId="0" applyFont="1" applyFill="1" applyBorder="1" applyAlignment="1" applyProtection="1">
      <alignment horizontal="center" wrapText="1"/>
      <protection hidden="1"/>
    </xf>
    <xf numFmtId="0" fontId="9" fillId="0" borderId="7" xfId="0" applyFont="1" applyBorder="1" applyAlignment="1" applyProtection="1">
      <alignment horizontal="left" vertical="center"/>
      <protection hidden="1"/>
    </xf>
    <xf numFmtId="0" fontId="9" fillId="0" borderId="7" xfId="0" applyFont="1" applyBorder="1" applyAlignment="1" applyProtection="1">
      <alignment horizontal="left"/>
      <protection hidden="1"/>
    </xf>
    <xf numFmtId="0" fontId="9" fillId="11" borderId="7" xfId="0" applyFont="1" applyFill="1" applyBorder="1" applyAlignment="1" applyProtection="1">
      <alignment horizontal="left"/>
      <protection hidden="1"/>
    </xf>
    <xf numFmtId="10" fontId="9" fillId="0" borderId="7" xfId="1" applyNumberFormat="1" applyFont="1" applyBorder="1" applyAlignment="1" applyProtection="1">
      <alignment horizontal="right" vertical="center"/>
      <protection hidden="1"/>
    </xf>
    <xf numFmtId="10" fontId="9" fillId="0" borderId="7" xfId="1" applyNumberFormat="1" applyFont="1" applyBorder="1" applyAlignment="1" applyProtection="1">
      <alignment horizontal="right"/>
      <protection hidden="1"/>
    </xf>
    <xf numFmtId="164" fontId="11" fillId="0" borderId="7" xfId="0" applyNumberFormat="1" applyFont="1" applyBorder="1" applyAlignment="1" applyProtection="1">
      <alignment horizontal="center"/>
      <protection hidden="1"/>
    </xf>
    <xf numFmtId="0" fontId="10" fillId="4" borderId="1" xfId="0" applyFont="1" applyFill="1" applyBorder="1" applyAlignment="1" applyProtection="1">
      <alignment horizontal="center" vertical="center" wrapText="1"/>
      <protection hidden="1"/>
    </xf>
    <xf numFmtId="0" fontId="10" fillId="4" borderId="7" xfId="0" applyFont="1" applyFill="1" applyBorder="1" applyAlignment="1" applyProtection="1">
      <alignment horizontal="center" vertical="center" wrapText="1"/>
      <protection hidden="1"/>
    </xf>
    <xf numFmtId="0" fontId="9" fillId="0" borderId="7" xfId="0" applyFont="1" applyBorder="1" applyAlignment="1" applyProtection="1">
      <alignment horizontal="center"/>
      <protection hidden="1"/>
    </xf>
    <xf numFmtId="0" fontId="29" fillId="19" borderId="37" xfId="0" applyFont="1" applyFill="1" applyBorder="1" applyAlignment="1">
      <alignment horizontal="center" vertical="center" wrapText="1"/>
    </xf>
    <xf numFmtId="0" fontId="30" fillId="20" borderId="17" xfId="0" applyFont="1" applyFill="1" applyBorder="1" applyAlignment="1">
      <alignment horizontal="center" vertical="center" wrapText="1"/>
    </xf>
    <xf numFmtId="0" fontId="29" fillId="19" borderId="39" xfId="0" applyFont="1" applyFill="1" applyBorder="1" applyAlignment="1">
      <alignment horizontal="center" wrapText="1"/>
    </xf>
    <xf numFmtId="0" fontId="30" fillId="21" borderId="39" xfId="0" applyFont="1" applyFill="1" applyBorder="1" applyAlignment="1">
      <alignment horizontal="left" vertical="top" wrapText="1"/>
    </xf>
    <xf numFmtId="0" fontId="30" fillId="21" borderId="39" xfId="0" applyFont="1" applyFill="1" applyBorder="1" applyAlignment="1">
      <alignment horizontal="left" wrapText="1"/>
    </xf>
    <xf numFmtId="0" fontId="30" fillId="21" borderId="42" xfId="0" applyFont="1" applyFill="1" applyBorder="1" applyAlignment="1">
      <alignment horizontal="left" wrapText="1"/>
    </xf>
    <xf numFmtId="0" fontId="10" fillId="4" borderId="7" xfId="0" applyFont="1" applyFill="1" applyBorder="1" applyAlignment="1" applyProtection="1">
      <alignment horizontal="center" vertical="center"/>
      <protection hidden="1"/>
    </xf>
    <xf numFmtId="10" fontId="9" fillId="12" borderId="7" xfId="1" applyNumberFormat="1" applyFont="1" applyFill="1" applyBorder="1" applyAlignment="1" applyProtection="1">
      <alignment horizontal="center" wrapText="1"/>
      <protection locked="0"/>
    </xf>
    <xf numFmtId="2" fontId="9" fillId="12" borderId="7" xfId="0" applyNumberFormat="1" applyFont="1" applyFill="1" applyBorder="1" applyAlignment="1" applyProtection="1">
      <alignment horizontal="center" vertical="center" wrapText="1"/>
      <protection locked="0"/>
    </xf>
    <xf numFmtId="14" fontId="10" fillId="4" borderId="8" xfId="0" applyNumberFormat="1" applyFont="1" applyFill="1" applyBorder="1" applyAlignment="1" applyProtection="1">
      <alignment horizontal="center" vertical="center" wrapText="1"/>
      <protection hidden="1"/>
    </xf>
    <xf numFmtId="0" fontId="5" fillId="2" borderId="36" xfId="0" applyFont="1" applyFill="1" applyBorder="1" applyAlignment="1" applyProtection="1">
      <alignment horizontal="center"/>
      <protection hidden="1"/>
    </xf>
    <xf numFmtId="0" fontId="5" fillId="2" borderId="13" xfId="0" applyFont="1" applyFill="1" applyBorder="1" applyAlignment="1" applyProtection="1">
      <alignment horizontal="center"/>
      <protection hidden="1"/>
    </xf>
    <xf numFmtId="0" fontId="10" fillId="4" borderId="7" xfId="0" applyFont="1" applyFill="1" applyBorder="1" applyAlignment="1" applyProtection="1">
      <alignment horizontal="center" vertical="center" wrapText="1"/>
      <protection hidden="1"/>
    </xf>
    <xf numFmtId="0" fontId="9" fillId="0" borderId="7" xfId="0" applyFont="1" applyBorder="1" applyAlignment="1" applyProtection="1">
      <alignment horizontal="center"/>
      <protection hidden="1"/>
    </xf>
    <xf numFmtId="14" fontId="10" fillId="4" borderId="8" xfId="0" applyNumberFormat="1" applyFont="1" applyFill="1" applyBorder="1" applyAlignment="1" applyProtection="1">
      <alignment horizontal="center" vertical="center" wrapText="1"/>
      <protection hidden="1"/>
    </xf>
    <xf numFmtId="14" fontId="10" fillId="4" borderId="9" xfId="0" applyNumberFormat="1" applyFont="1" applyFill="1" applyBorder="1" applyAlignment="1" applyProtection="1">
      <alignment horizontal="center" vertical="center" wrapText="1"/>
      <protection hidden="1"/>
    </xf>
    <xf numFmtId="14" fontId="10" fillId="4" borderId="10" xfId="0" applyNumberFormat="1" applyFont="1" applyFill="1" applyBorder="1" applyAlignment="1" applyProtection="1">
      <alignment horizontal="center" vertical="center" wrapText="1"/>
      <protection hidden="1"/>
    </xf>
    <xf numFmtId="0" fontId="9" fillId="7" borderId="15" xfId="0" applyFont="1" applyFill="1" applyBorder="1" applyAlignment="1" applyProtection="1">
      <alignment horizontal="center"/>
      <protection hidden="1"/>
    </xf>
    <xf numFmtId="0" fontId="5" fillId="2" borderId="8" xfId="0" applyFont="1" applyFill="1" applyBorder="1" applyAlignment="1" applyProtection="1">
      <alignment horizontal="center"/>
      <protection hidden="1"/>
    </xf>
    <xf numFmtId="0" fontId="5" fillId="2" borderId="9" xfId="0" applyFont="1" applyFill="1" applyBorder="1" applyAlignment="1" applyProtection="1">
      <alignment horizontal="center"/>
      <protection hidden="1"/>
    </xf>
    <xf numFmtId="0" fontId="0" fillId="0" borderId="8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wrapText="1"/>
    </xf>
    <xf numFmtId="0" fontId="0" fillId="0" borderId="10" xfId="0" applyFont="1" applyBorder="1" applyAlignment="1">
      <alignment horizontal="center" wrapText="1"/>
    </xf>
    <xf numFmtId="0" fontId="10" fillId="4" borderId="45" xfId="0" applyFont="1" applyFill="1" applyBorder="1" applyAlignment="1" applyProtection="1">
      <alignment horizontal="center" vertical="center" wrapText="1"/>
      <protection hidden="1"/>
    </xf>
    <xf numFmtId="0" fontId="10" fillId="4" borderId="46" xfId="0" applyFont="1" applyFill="1" applyBorder="1" applyAlignment="1" applyProtection="1">
      <alignment horizontal="center" vertical="center" wrapText="1"/>
      <protection hidden="1"/>
    </xf>
    <xf numFmtId="164" fontId="30" fillId="22" borderId="7" xfId="0" applyNumberFormat="1" applyFont="1" applyFill="1" applyBorder="1" applyAlignment="1">
      <alignment horizontal="center" vertical="top" wrapText="1"/>
    </xf>
    <xf numFmtId="10" fontId="31" fillId="10" borderId="43" xfId="1" applyNumberFormat="1" applyFont="1" applyFill="1" applyBorder="1" applyAlignment="1">
      <alignment horizontal="center" wrapText="1"/>
    </xf>
    <xf numFmtId="10" fontId="30" fillId="22" borderId="7" xfId="1" applyNumberFormat="1" applyFont="1" applyFill="1" applyBorder="1" applyAlignment="1">
      <alignment horizontal="center" vertical="top" wrapText="1"/>
    </xf>
    <xf numFmtId="0" fontId="29" fillId="19" borderId="44" xfId="0" applyFont="1" applyFill="1" applyBorder="1" applyAlignment="1">
      <alignment horizontal="center" wrapText="1"/>
    </xf>
    <xf numFmtId="0" fontId="29" fillId="19" borderId="9" xfId="0" applyFont="1" applyFill="1" applyBorder="1" applyAlignment="1">
      <alignment horizontal="center" wrapText="1"/>
    </xf>
    <xf numFmtId="0" fontId="7" fillId="10" borderId="23" xfId="0" applyFont="1" applyFill="1" applyBorder="1" applyAlignment="1" applyProtection="1">
      <alignment horizontal="center" vertical="center"/>
      <protection hidden="1"/>
    </xf>
    <xf numFmtId="0" fontId="7" fillId="10" borderId="24" xfId="0" applyFont="1" applyFill="1" applyBorder="1" applyAlignment="1" applyProtection="1">
      <alignment horizontal="center" vertical="center"/>
      <protection hidden="1"/>
    </xf>
    <xf numFmtId="0" fontId="7" fillId="10" borderId="25" xfId="0" applyFont="1" applyFill="1" applyBorder="1" applyAlignment="1" applyProtection="1">
      <alignment horizontal="center" vertical="center"/>
      <protection hidden="1"/>
    </xf>
    <xf numFmtId="0" fontId="7" fillId="2" borderId="23" xfId="0" applyFont="1" applyFill="1" applyBorder="1" applyAlignment="1" applyProtection="1">
      <alignment horizontal="center"/>
      <protection hidden="1"/>
    </xf>
    <xf numFmtId="0" fontId="17" fillId="2" borderId="24" xfId="0" applyFont="1" applyFill="1" applyBorder="1" applyAlignment="1" applyProtection="1">
      <alignment horizontal="center"/>
      <protection hidden="1"/>
    </xf>
    <xf numFmtId="0" fontId="17" fillId="2" borderId="25" xfId="0" applyFont="1" applyFill="1" applyBorder="1" applyAlignment="1" applyProtection="1">
      <alignment horizontal="center"/>
      <protection hidden="1"/>
    </xf>
    <xf numFmtId="0" fontId="30" fillId="10" borderId="8" xfId="0" applyFont="1" applyFill="1" applyBorder="1" applyAlignment="1">
      <alignment horizontal="center" wrapText="1"/>
    </xf>
    <xf numFmtId="0" fontId="30" fillId="10" borderId="10" xfId="0" applyFont="1" applyFill="1" applyBorder="1" applyAlignment="1">
      <alignment horizontal="center" wrapText="1"/>
    </xf>
    <xf numFmtId="0" fontId="30" fillId="10" borderId="9" xfId="0" applyFont="1" applyFill="1" applyBorder="1" applyAlignment="1">
      <alignment horizontal="center" wrapText="1"/>
    </xf>
    <xf numFmtId="0" fontId="30" fillId="10" borderId="7" xfId="0" applyFont="1" applyFill="1" applyBorder="1" applyAlignment="1">
      <alignment horizontal="center" wrapText="1"/>
    </xf>
    <xf numFmtId="0" fontId="29" fillId="19" borderId="14" xfId="0" applyFont="1" applyFill="1" applyBorder="1" applyAlignment="1">
      <alignment horizontal="center" vertical="center" wrapText="1"/>
    </xf>
    <xf numFmtId="0" fontId="29" fillId="19" borderId="38" xfId="0" applyFont="1" applyFill="1" applyBorder="1" applyAlignment="1">
      <alignment horizontal="center" vertical="center" wrapText="1"/>
    </xf>
    <xf numFmtId="0" fontId="28" fillId="20" borderId="7" xfId="0" applyFont="1" applyFill="1" applyBorder="1" applyAlignment="1">
      <alignment horizontal="center" vertical="center" wrapText="1"/>
    </xf>
    <xf numFmtId="0" fontId="28" fillId="20" borderId="40" xfId="0" applyFont="1" applyFill="1" applyBorder="1" applyAlignment="1">
      <alignment horizontal="center" vertical="center" wrapText="1"/>
    </xf>
    <xf numFmtId="0" fontId="28" fillId="20" borderId="18" xfId="0" applyFont="1" applyFill="1" applyBorder="1" applyAlignment="1">
      <alignment horizontal="center" vertical="center" wrapText="1"/>
    </xf>
    <xf numFmtId="0" fontId="28" fillId="20" borderId="41" xfId="0" applyFont="1" applyFill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/>
    </xf>
    <xf numFmtId="0" fontId="27" fillId="18" borderId="7" xfId="0" applyFont="1" applyFill="1" applyBorder="1" applyAlignment="1">
      <alignment horizontal="center"/>
    </xf>
    <xf numFmtId="0" fontId="30" fillId="20" borderId="39" xfId="0" applyFont="1" applyFill="1" applyBorder="1" applyAlignment="1">
      <alignment horizontal="center" vertical="center" wrapText="1"/>
    </xf>
    <xf numFmtId="0" fontId="9" fillId="0" borderId="6" xfId="0" applyFont="1" applyBorder="1" applyAlignment="1" applyProtection="1">
      <alignment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6" fillId="0" borderId="5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9" fillId="0" borderId="2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vertical="center"/>
      <protection hidden="1"/>
    </xf>
    <xf numFmtId="0" fontId="6" fillId="0" borderId="3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 wrapText="1"/>
      <protection hidden="1"/>
    </xf>
    <xf numFmtId="0" fontId="9" fillId="0" borderId="2" xfId="0" applyFont="1" applyBorder="1" applyAlignment="1" applyProtection="1">
      <alignment vertical="center" wrapText="1"/>
      <protection hidden="1"/>
    </xf>
    <xf numFmtId="0" fontId="6" fillId="0" borderId="2" xfId="0" applyFont="1" applyBorder="1" applyAlignment="1" applyProtection="1">
      <alignment vertical="center" wrapText="1"/>
      <protection hidden="1"/>
    </xf>
    <xf numFmtId="0" fontId="6" fillId="0" borderId="3" xfId="0" applyFont="1" applyBorder="1" applyAlignment="1" applyProtection="1">
      <alignment vertical="center" wrapText="1"/>
      <protection hidden="1"/>
    </xf>
    <xf numFmtId="0" fontId="27" fillId="18" borderId="27" xfId="0" applyFont="1" applyFill="1" applyBorder="1" applyAlignment="1">
      <alignment horizontal="center"/>
    </xf>
    <xf numFmtId="0" fontId="27" fillId="18" borderId="12" xfId="0" applyFont="1" applyFill="1" applyBorder="1" applyAlignment="1">
      <alignment horizontal="center"/>
    </xf>
    <xf numFmtId="0" fontId="8" fillId="6" borderId="7" xfId="0" applyFont="1" applyFill="1" applyBorder="1" applyAlignment="1" applyProtection="1">
      <alignment horizontal="left"/>
      <protection hidden="1"/>
    </xf>
    <xf numFmtId="0" fontId="9" fillId="0" borderId="1" xfId="0" quotePrefix="1" applyFont="1" applyBorder="1" applyAlignment="1" applyProtection="1">
      <alignment vertical="center" wrapText="1"/>
      <protection hidden="1"/>
    </xf>
    <xf numFmtId="0" fontId="9" fillId="0" borderId="2" xfId="0" quotePrefix="1" applyFont="1" applyBorder="1" applyAlignment="1" applyProtection="1">
      <alignment vertical="center" wrapText="1"/>
      <protection hidden="1"/>
    </xf>
    <xf numFmtId="0" fontId="17" fillId="2" borderId="23" xfId="0" applyFont="1" applyFill="1" applyBorder="1" applyAlignment="1" applyProtection="1">
      <alignment horizontal="center"/>
      <protection hidden="1"/>
    </xf>
    <xf numFmtId="0" fontId="9" fillId="0" borderId="21" xfId="0" applyFont="1" applyBorder="1" applyAlignment="1" applyProtection="1">
      <alignment horizontal="left" vertical="center"/>
      <protection hidden="1"/>
    </xf>
    <xf numFmtId="0" fontId="9" fillId="0" borderId="12" xfId="0" applyFont="1" applyBorder="1" applyAlignment="1" applyProtection="1">
      <alignment horizontal="left" vertical="center"/>
      <protection hidden="1"/>
    </xf>
    <xf numFmtId="0" fontId="9" fillId="0" borderId="22" xfId="0" applyFont="1" applyBorder="1" applyAlignment="1" applyProtection="1">
      <alignment horizontal="left" vertical="center"/>
      <protection hidden="1"/>
    </xf>
    <xf numFmtId="0" fontId="8" fillId="5" borderId="7" xfId="0" applyFont="1" applyFill="1" applyBorder="1" applyAlignment="1" applyProtection="1">
      <alignment horizontal="left"/>
      <protection hidden="1"/>
    </xf>
    <xf numFmtId="2" fontId="30" fillId="22" borderId="7" xfId="1" applyNumberFormat="1" applyFont="1" applyFill="1" applyBorder="1" applyAlignment="1">
      <alignment horizontal="center" vertical="top" wrapText="1"/>
    </xf>
    <xf numFmtId="14" fontId="10" fillId="4" borderId="7" xfId="0" applyNumberFormat="1" applyFont="1" applyFill="1" applyBorder="1" applyAlignment="1" applyProtection="1">
      <alignment horizontal="center" vertical="center" wrapText="1"/>
      <protection hidden="1"/>
    </xf>
    <xf numFmtId="9" fontId="0" fillId="0" borderId="7" xfId="1" applyFont="1" applyBorder="1" applyAlignment="1">
      <alignment horizontal="center"/>
    </xf>
    <xf numFmtId="0" fontId="7" fillId="10" borderId="7" xfId="0" applyFont="1" applyFill="1" applyBorder="1" applyAlignment="1" applyProtection="1">
      <alignment horizontal="center" vertical="center"/>
      <protection hidden="1"/>
    </xf>
    <xf numFmtId="0" fontId="10" fillId="4" borderId="11" xfId="0" applyFont="1" applyFill="1" applyBorder="1" applyAlignment="1" applyProtection="1">
      <alignment horizontal="right" vertical="center" wrapText="1"/>
      <protection hidden="1"/>
    </xf>
    <xf numFmtId="0" fontId="6" fillId="0" borderId="11" xfId="0" applyFont="1" applyBorder="1" applyProtection="1">
      <protection hidden="1"/>
    </xf>
    <xf numFmtId="0" fontId="18" fillId="8" borderId="34" xfId="0" applyFont="1" applyFill="1" applyBorder="1" applyAlignment="1" applyProtection="1">
      <alignment horizontal="center" vertical="center" wrapText="1"/>
    </xf>
    <xf numFmtId="0" fontId="18" fillId="8" borderId="17" xfId="0" applyFont="1" applyFill="1" applyBorder="1" applyAlignment="1" applyProtection="1">
      <alignment horizontal="center" vertical="center" wrapText="1"/>
    </xf>
    <xf numFmtId="0" fontId="18" fillId="8" borderId="32" xfId="0" applyFont="1" applyFill="1" applyBorder="1" applyAlignment="1" applyProtection="1">
      <alignment horizontal="center" vertical="center" wrapText="1"/>
    </xf>
    <xf numFmtId="0" fontId="18" fillId="8" borderId="11" xfId="0" applyFont="1" applyFill="1" applyBorder="1" applyAlignment="1" applyProtection="1">
      <alignment horizontal="center" vertical="center" wrapText="1"/>
    </xf>
    <xf numFmtId="0" fontId="18" fillId="8" borderId="18" xfId="0" applyFont="1" applyFill="1" applyBorder="1" applyAlignment="1" applyProtection="1">
      <alignment horizontal="center" vertical="center" wrapText="1"/>
    </xf>
    <xf numFmtId="0" fontId="20" fillId="9" borderId="8" xfId="0" applyFont="1" applyFill="1" applyBorder="1" applyAlignment="1">
      <alignment horizontal="center"/>
    </xf>
    <xf numFmtId="0" fontId="20" fillId="9" borderId="9" xfId="0" applyFont="1" applyFill="1" applyBorder="1" applyAlignment="1">
      <alignment horizontal="center"/>
    </xf>
    <xf numFmtId="0" fontId="20" fillId="9" borderId="10" xfId="0" applyFont="1" applyFill="1" applyBorder="1" applyAlignment="1">
      <alignment horizontal="center"/>
    </xf>
    <xf numFmtId="0" fontId="18" fillId="8" borderId="33" xfId="0" applyFont="1" applyFill="1" applyBorder="1" applyAlignment="1" applyProtection="1">
      <alignment horizontal="center" vertical="center" wrapText="1"/>
    </xf>
    <xf numFmtId="0" fontId="18" fillId="8" borderId="21" xfId="0" applyFont="1" applyFill="1" applyBorder="1" applyAlignment="1" applyProtection="1">
      <alignment horizontal="center" vertical="center" wrapText="1"/>
    </xf>
    <xf numFmtId="0" fontId="18" fillId="8" borderId="12" xfId="0" applyFont="1" applyFill="1" applyBorder="1" applyAlignment="1" applyProtection="1">
      <alignment horizontal="center" vertical="center" wrapText="1"/>
    </xf>
    <xf numFmtId="0" fontId="18" fillId="8" borderId="22" xfId="0" applyFont="1" applyFill="1" applyBorder="1" applyAlignment="1" applyProtection="1">
      <alignment horizontal="center" vertical="center" wrapText="1"/>
    </xf>
    <xf numFmtId="0" fontId="18" fillId="8" borderId="35" xfId="0" applyFont="1" applyFill="1" applyBorder="1" applyAlignment="1" applyProtection="1">
      <alignment horizontal="center" vertical="center" wrapText="1"/>
    </xf>
    <xf numFmtId="0" fontId="18" fillId="8" borderId="19" xfId="0" applyFont="1" applyFill="1" applyBorder="1" applyAlignment="1" applyProtection="1">
      <alignment horizontal="center" vertical="center" wrapText="1"/>
    </xf>
    <xf numFmtId="0" fontId="18" fillId="8" borderId="20" xfId="0" applyFont="1" applyFill="1" applyBorder="1" applyAlignment="1" applyProtection="1">
      <alignment horizontal="center" vertical="center" wrapText="1"/>
    </xf>
    <xf numFmtId="0" fontId="20" fillId="9" borderId="7" xfId="0" applyFont="1" applyFill="1" applyBorder="1" applyAlignment="1">
      <alignment horizontal="center"/>
    </xf>
    <xf numFmtId="0" fontId="12" fillId="0" borderId="7" xfId="0" applyFont="1" applyBorder="1" applyAlignment="1">
      <alignment horizontal="center" vertical="top" wrapText="1"/>
    </xf>
    <xf numFmtId="0" fontId="7" fillId="10" borderId="0" xfId="0" applyFont="1" applyFill="1" applyBorder="1" applyAlignment="1" applyProtection="1">
      <alignment horizontal="center" vertical="center"/>
      <protection hidden="1"/>
    </xf>
    <xf numFmtId="0" fontId="7" fillId="10" borderId="12" xfId="0" applyFont="1" applyFill="1" applyBorder="1" applyAlignment="1" applyProtection="1">
      <alignment horizontal="center" vertical="center"/>
      <protection hidden="1"/>
    </xf>
    <xf numFmtId="0" fontId="12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center" vertical="top" wrapText="1"/>
    </xf>
    <xf numFmtId="0" fontId="12" fillId="0" borderId="28" xfId="0" applyFont="1" applyBorder="1" applyAlignment="1">
      <alignment horizontal="center" vertical="top" wrapText="1"/>
    </xf>
    <xf numFmtId="0" fontId="12" fillId="0" borderId="29" xfId="0" applyFont="1" applyBorder="1" applyAlignment="1">
      <alignment horizontal="center" vertical="top" wrapText="1"/>
    </xf>
    <xf numFmtId="0" fontId="12" fillId="0" borderId="0" xfId="0" applyFont="1" applyBorder="1" applyAlignment="1">
      <alignment horizontal="center" vertical="top" wrapText="1"/>
    </xf>
    <xf numFmtId="0" fontId="12" fillId="0" borderId="3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center" vertical="top" wrapText="1"/>
    </xf>
    <xf numFmtId="0" fontId="12" fillId="0" borderId="12" xfId="0" applyFont="1" applyBorder="1" applyAlignment="1">
      <alignment horizontal="center" vertical="top" wrapText="1"/>
    </xf>
    <xf numFmtId="0" fontId="12" fillId="0" borderId="22" xfId="0" applyFont="1" applyBorder="1" applyAlignment="1">
      <alignment horizontal="center" vertical="top" wrapText="1"/>
    </xf>
    <xf numFmtId="0" fontId="0" fillId="16" borderId="8" xfId="0" applyFill="1" applyBorder="1" applyAlignment="1">
      <alignment horizontal="center" wrapText="1"/>
    </xf>
    <xf numFmtId="0" fontId="0" fillId="16" borderId="9" xfId="0" applyFill="1" applyBorder="1" applyAlignment="1">
      <alignment horizontal="center" wrapText="1"/>
    </xf>
    <xf numFmtId="0" fontId="0" fillId="16" borderId="10" xfId="0" applyFill="1" applyBorder="1" applyAlignment="1">
      <alignment horizontal="center" wrapText="1"/>
    </xf>
    <xf numFmtId="0" fontId="0" fillId="16" borderId="12" xfId="0" applyFill="1" applyBorder="1" applyAlignment="1">
      <alignment horizontal="center"/>
    </xf>
    <xf numFmtId="2" fontId="9" fillId="23" borderId="7" xfId="0" applyNumberFormat="1" applyFont="1" applyFill="1" applyBorder="1" applyAlignment="1" applyProtection="1">
      <alignment horizontal="center" vertical="center" wrapText="1"/>
      <protection locked="0"/>
    </xf>
    <xf numFmtId="10" fontId="9" fillId="23" borderId="7" xfId="1" applyNumberFormat="1" applyFont="1" applyFill="1" applyBorder="1" applyAlignment="1" applyProtection="1">
      <alignment horizontal="center" wrapText="1"/>
      <protection locked="0"/>
    </xf>
    <xf numFmtId="10" fontId="9" fillId="24" borderId="7" xfId="1" applyNumberFormat="1" applyFont="1" applyFill="1" applyBorder="1" applyAlignment="1" applyProtection="1">
      <alignment horizontal="center" wrapText="1"/>
      <protection locked="0"/>
    </xf>
    <xf numFmtId="14" fontId="10" fillId="4" borderId="27" xfId="0" applyNumberFormat="1" applyFont="1" applyFill="1" applyBorder="1" applyAlignment="1" applyProtection="1">
      <alignment horizontal="center" vertical="center" wrapText="1"/>
      <protection hidden="1"/>
    </xf>
    <xf numFmtId="14" fontId="10" fillId="4" borderId="28" xfId="0" applyNumberFormat="1" applyFont="1" applyFill="1" applyBorder="1" applyAlignment="1" applyProtection="1">
      <alignment horizontal="center" vertical="center" wrapText="1"/>
      <protection hidden="1"/>
    </xf>
    <xf numFmtId="9" fontId="9" fillId="23" borderId="7" xfId="1" applyNumberFormat="1" applyFont="1" applyFill="1" applyBorder="1" applyAlignment="1" applyProtection="1">
      <alignment horizontal="center" vertical="center" wrapText="1"/>
      <protection hidden="1"/>
    </xf>
    <xf numFmtId="9" fontId="9" fillId="23" borderId="7" xfId="1" applyFont="1" applyFill="1" applyBorder="1" applyAlignment="1" applyProtection="1">
      <alignment horizontal="center" vertical="center" wrapText="1"/>
      <protection hidden="1"/>
    </xf>
    <xf numFmtId="0" fontId="9" fillId="7" borderId="12" xfId="0" applyFont="1" applyFill="1" applyBorder="1" applyAlignment="1" applyProtection="1">
      <protection hidden="1"/>
    </xf>
    <xf numFmtId="0" fontId="5" fillId="2" borderId="8" xfId="0" applyFont="1" applyFill="1" applyBorder="1" applyAlignment="1" applyProtection="1">
      <protection hidden="1"/>
    </xf>
    <xf numFmtId="0" fontId="5" fillId="2" borderId="9" xfId="0" applyFont="1" applyFill="1" applyBorder="1" applyAlignment="1" applyProtection="1">
      <protection hidden="1"/>
    </xf>
    <xf numFmtId="164" fontId="9" fillId="12" borderId="7" xfId="0" applyNumberFormat="1" applyFont="1" applyFill="1" applyBorder="1" applyAlignment="1" applyProtection="1">
      <alignment horizontal="center" vertical="center" wrapText="1"/>
      <protection locked="0"/>
    </xf>
    <xf numFmtId="10" fontId="9" fillId="12" borderId="7" xfId="1" applyNumberFormat="1" applyFont="1" applyFill="1" applyBorder="1" applyAlignment="1" applyProtection="1">
      <alignment horizontal="center" vertical="center" wrapText="1"/>
      <protection locked="0"/>
    </xf>
    <xf numFmtId="164" fontId="9" fillId="23" borderId="7" xfId="0" applyNumberFormat="1" applyFont="1" applyFill="1" applyBorder="1" applyAlignment="1" applyProtection="1">
      <alignment horizontal="center" vertical="center" wrapText="1"/>
      <protection hidden="1"/>
    </xf>
    <xf numFmtId="164" fontId="9" fillId="23" borderId="7" xfId="0" applyNumberFormat="1" applyFont="1" applyFill="1" applyBorder="1" applyAlignment="1" applyProtection="1">
      <alignment horizontal="center" vertical="center" wrapText="1"/>
      <protection locked="0"/>
    </xf>
    <xf numFmtId="10" fontId="9" fillId="23" borderId="7" xfId="1" applyNumberFormat="1" applyFont="1" applyFill="1" applyBorder="1" applyAlignment="1" applyProtection="1">
      <alignment horizontal="center" vertical="center" wrapText="1"/>
      <protection locked="0"/>
    </xf>
    <xf numFmtId="164" fontId="11" fillId="0" borderId="7" xfId="0" applyNumberFormat="1" applyFont="1" applyBorder="1" applyAlignment="1" applyProtection="1">
      <alignment horizontal="center" vertical="center"/>
      <protection hidden="1"/>
    </xf>
    <xf numFmtId="0" fontId="9" fillId="0" borderId="7" xfId="0" applyFont="1" applyBorder="1" applyProtection="1">
      <protection hidden="1"/>
    </xf>
    <xf numFmtId="2" fontId="11" fillId="0" borderId="7" xfId="0" applyNumberFormat="1" applyFont="1" applyBorder="1" applyAlignment="1" applyProtection="1">
      <alignment horizontal="center"/>
      <protection hidden="1"/>
    </xf>
  </cellXfs>
  <cellStyles count="14">
    <cellStyle name="Normal" xfId="0" builtinId="0"/>
    <cellStyle name="Normal 13" xfId="11" xr:uid="{00000000-0005-0000-0000-000002000000}"/>
    <cellStyle name="Normal 2" xfId="2" xr:uid="{00000000-0005-0000-0000-000003000000}"/>
    <cellStyle name="Normal 2 2" xfId="4" xr:uid="{00000000-0005-0000-0000-000004000000}"/>
    <cellStyle name="Normal 3" xfId="6" xr:uid="{00000000-0005-0000-0000-000005000000}"/>
    <cellStyle name="Normal 4" xfId="8" xr:uid="{00000000-0005-0000-0000-000006000000}"/>
    <cellStyle name="Normal 4 2" xfId="13" xr:uid="{00000000-0005-0000-0000-000007000000}"/>
    <cellStyle name="Normal 5" xfId="10" xr:uid="{00000000-0005-0000-0000-000008000000}"/>
    <cellStyle name="Percent" xfId="1" builtinId="5"/>
    <cellStyle name="Percent 2" xfId="3" xr:uid="{00000000-0005-0000-0000-00000A000000}"/>
    <cellStyle name="Percent 2 2" xfId="5" xr:uid="{00000000-0005-0000-0000-00000B000000}"/>
    <cellStyle name="Percent 3" xfId="7" xr:uid="{00000000-0005-0000-0000-00000C000000}"/>
    <cellStyle name="Percent 4" xfId="9" xr:uid="{00000000-0005-0000-0000-00000D000000}"/>
    <cellStyle name="Percent 5" xfId="12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257175</xdr:colOff>
      <xdr:row>56</xdr:row>
      <xdr:rowOff>133350</xdr:rowOff>
    </xdr:to>
    <xdr:sp macro="" textlink="">
      <xdr:nvSpPr>
        <xdr:cNvPr id="4098" name="Rectangle 2" hidden="1">
          <a:extLst>
            <a:ext uri="{FF2B5EF4-FFF2-40B4-BE49-F238E27FC236}">
              <a16:creationId xmlns:a16="http://schemas.microsoft.com/office/drawing/2014/main" id="{00000000-0008-0000-0000-0000021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9</xdr:col>
      <xdr:colOff>257175</xdr:colOff>
      <xdr:row>60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858500" cy="102108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9</xdr:col>
      <xdr:colOff>257175</xdr:colOff>
      <xdr:row>60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858500" cy="102108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9</xdr:col>
      <xdr:colOff>257175</xdr:colOff>
      <xdr:row>60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858500" cy="102108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9</xdr:col>
      <xdr:colOff>257175</xdr:colOff>
      <xdr:row>60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858500" cy="102108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9</xdr:col>
      <xdr:colOff>257175</xdr:colOff>
      <xdr:row>60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858500" cy="102108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9</xdr:col>
      <xdr:colOff>257175</xdr:colOff>
      <xdr:row>60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858500" cy="102108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13</xdr:col>
      <xdr:colOff>257175</xdr:colOff>
      <xdr:row>55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0" y="200025"/>
          <a:ext cx="10029825" cy="9467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13</xdr:col>
      <xdr:colOff>257175</xdr:colOff>
      <xdr:row>55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0" y="200025"/>
          <a:ext cx="10029825" cy="9467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13</xdr:col>
      <xdr:colOff>257175</xdr:colOff>
      <xdr:row>55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0" y="200025"/>
          <a:ext cx="10029825" cy="9467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13</xdr:col>
      <xdr:colOff>257175</xdr:colOff>
      <xdr:row>55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0" y="200025"/>
          <a:ext cx="10029825" cy="9467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13</xdr:col>
      <xdr:colOff>257175</xdr:colOff>
      <xdr:row>55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0" y="200025"/>
          <a:ext cx="10029825" cy="9467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13</xdr:col>
      <xdr:colOff>257175</xdr:colOff>
      <xdr:row>55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0" y="200025"/>
          <a:ext cx="10029825" cy="9467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895350</xdr:colOff>
      <xdr:row>49</xdr:row>
      <xdr:rowOff>485774</xdr:rowOff>
    </xdr:from>
    <xdr:to>
      <xdr:col>6</xdr:col>
      <xdr:colOff>818588</xdr:colOff>
      <xdr:row>50</xdr:row>
      <xdr:rowOff>86286</xdr:rowOff>
    </xdr:to>
    <xdr:sp macro="" textlink="">
      <xdr:nvSpPr>
        <xdr:cNvPr id="8" name="Right Arrow 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9439275" y="31546799"/>
          <a:ext cx="1561538" cy="8628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1433793</xdr:colOff>
      <xdr:row>49</xdr:row>
      <xdr:rowOff>531160</xdr:rowOff>
    </xdr:from>
    <xdr:to>
      <xdr:col>8</xdr:col>
      <xdr:colOff>1019175</xdr:colOff>
      <xdr:row>50</xdr:row>
      <xdr:rowOff>76761</xdr:rowOff>
    </xdr:to>
    <xdr:sp macro="" textlink="">
      <xdr:nvSpPr>
        <xdr:cNvPr id="9" name="Right Arrow 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2759018" y="31544560"/>
          <a:ext cx="928407" cy="7900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1459005</xdr:colOff>
      <xdr:row>49</xdr:row>
      <xdr:rowOff>531160</xdr:rowOff>
    </xdr:from>
    <xdr:to>
      <xdr:col>9</xdr:col>
      <xdr:colOff>954741</xdr:colOff>
      <xdr:row>50</xdr:row>
      <xdr:rowOff>76761</xdr:rowOff>
    </xdr:to>
    <xdr:sp macro="" textlink="">
      <xdr:nvSpPr>
        <xdr:cNvPr id="10" name="Right Arrow 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3689105" y="31544560"/>
          <a:ext cx="953061" cy="7900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1253939</xdr:colOff>
      <xdr:row>49</xdr:row>
      <xdr:rowOff>476250</xdr:rowOff>
    </xdr:from>
    <xdr:to>
      <xdr:col>7</xdr:col>
      <xdr:colOff>884144</xdr:colOff>
      <xdr:row>50</xdr:row>
      <xdr:rowOff>86285</xdr:rowOff>
    </xdr:to>
    <xdr:sp macro="" textlink="">
      <xdr:nvSpPr>
        <xdr:cNvPr id="11" name="Right Arrow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1436164" y="31546800"/>
          <a:ext cx="1078005" cy="8628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12</xdr:col>
      <xdr:colOff>605118</xdr:colOff>
      <xdr:row>5</xdr:row>
      <xdr:rowOff>134471</xdr:rowOff>
    </xdr:from>
    <xdr:to>
      <xdr:col>18</xdr:col>
      <xdr:colOff>78318</xdr:colOff>
      <xdr:row>31</xdr:row>
      <xdr:rowOff>75547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3000" y="1053353"/>
          <a:ext cx="5569200" cy="4176900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18</xdr:col>
      <xdr:colOff>717177</xdr:colOff>
      <xdr:row>6</xdr:row>
      <xdr:rowOff>0</xdr:rowOff>
    </xdr:from>
    <xdr:to>
      <xdr:col>24</xdr:col>
      <xdr:colOff>347259</xdr:colOff>
      <xdr:row>31</xdr:row>
      <xdr:rowOff>97959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91059" y="1075765"/>
          <a:ext cx="5569200" cy="4176900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25</xdr:col>
      <xdr:colOff>22412</xdr:colOff>
      <xdr:row>5</xdr:row>
      <xdr:rowOff>156882</xdr:rowOff>
    </xdr:from>
    <xdr:to>
      <xdr:col>30</xdr:col>
      <xdr:colOff>773083</xdr:colOff>
      <xdr:row>31</xdr:row>
      <xdr:rowOff>97958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799118" y="1075764"/>
          <a:ext cx="5569200" cy="4176900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116417</xdr:colOff>
      <xdr:row>4</xdr:row>
      <xdr:rowOff>31750</xdr:rowOff>
    </xdr:from>
    <xdr:to>
      <xdr:col>7</xdr:col>
      <xdr:colOff>633767</xdr:colOff>
      <xdr:row>29</xdr:row>
      <xdr:rowOff>78450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83084" y="783167"/>
          <a:ext cx="5565600" cy="4015450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11</xdr:col>
      <xdr:colOff>919516</xdr:colOff>
      <xdr:row>31</xdr:row>
      <xdr:rowOff>46700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155333" y="1068917"/>
          <a:ext cx="5565600" cy="4174200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K803"/>
  <sheetViews>
    <sheetView showGridLines="0" zoomScale="90" zoomScaleNormal="90" workbookViewId="0">
      <selection activeCell="A18" sqref="A18"/>
    </sheetView>
  </sheetViews>
  <sheetFormatPr defaultColWidth="14.42578125" defaultRowHeight="15.75" customHeight="1" x14ac:dyDescent="0.2"/>
  <cols>
    <col min="1" max="1" width="32.28515625" style="1" customWidth="1"/>
    <col min="2" max="5" width="20.140625" style="1" customWidth="1"/>
    <col min="6" max="6" width="19.7109375" style="1" customWidth="1"/>
    <col min="7" max="7" width="21.28515625" style="1" customWidth="1"/>
    <col min="8" max="8" width="20.7109375" style="1" customWidth="1"/>
    <col min="9" max="9" width="24.5703125" style="1" bestFit="1" customWidth="1"/>
    <col min="10" max="10" width="21.7109375" style="1" bestFit="1" customWidth="1"/>
    <col min="11" max="11" width="21.7109375" style="1" customWidth="1"/>
    <col min="12" max="20" width="21.5703125" style="1" customWidth="1"/>
    <col min="21" max="26" width="22.7109375" style="1" customWidth="1"/>
    <col min="27" max="27" width="17" style="1" bestFit="1" customWidth="1"/>
    <col min="28" max="28" width="17" style="1" customWidth="1"/>
    <col min="29" max="29" width="13.85546875" style="1" bestFit="1" customWidth="1"/>
    <col min="30" max="16384" width="14.42578125" style="1"/>
  </cols>
  <sheetData>
    <row r="1" spans="1:36" ht="15.75" customHeight="1" thickBot="1" x14ac:dyDescent="0.25"/>
    <row r="2" spans="1:36" s="11" customFormat="1" ht="19.5" customHeight="1" thickBot="1" x14ac:dyDescent="0.25">
      <c r="A2" s="178" t="s">
        <v>39</v>
      </c>
      <c r="B2" s="179"/>
      <c r="C2" s="179"/>
      <c r="D2" s="179"/>
      <c r="E2" s="179"/>
      <c r="F2" s="179"/>
      <c r="G2" s="179"/>
      <c r="H2" s="179"/>
      <c r="I2" s="18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s="11" customFormat="1" ht="28.5" customHeight="1" x14ac:dyDescent="0.2">
      <c r="A3" s="23" t="s">
        <v>38</v>
      </c>
      <c r="B3" s="215" t="s">
        <v>37</v>
      </c>
      <c r="C3" s="216"/>
      <c r="D3" s="216"/>
      <c r="E3" s="216"/>
      <c r="F3" s="216"/>
      <c r="G3" s="216"/>
      <c r="H3" s="216"/>
      <c r="I3" s="217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ht="12.7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ht="13.5" thickBo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ht="18.75" customHeight="1" thickBot="1" x14ac:dyDescent="0.25">
      <c r="A6" s="178" t="s">
        <v>179</v>
      </c>
      <c r="B6" s="179"/>
      <c r="C6" s="179"/>
      <c r="D6" s="179"/>
      <c r="E6" s="179"/>
      <c r="F6" s="179"/>
      <c r="G6" s="179"/>
      <c r="H6" s="179"/>
      <c r="I6" s="180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s="157" t="s">
        <v>140</v>
      </c>
      <c r="B7" s="158"/>
      <c r="C7" s="158"/>
      <c r="D7" s="158"/>
      <c r="E7" s="158"/>
      <c r="F7" s="158"/>
      <c r="G7" s="158"/>
      <c r="H7" s="158"/>
      <c r="I7" s="158"/>
      <c r="J7" s="2"/>
      <c r="K7" s="2"/>
      <c r="L7" s="2"/>
      <c r="M7" s="2"/>
      <c r="N7" s="124"/>
      <c r="O7" s="124"/>
      <c r="P7" s="124"/>
      <c r="Q7" s="124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ht="12.75" customHeight="1" x14ac:dyDescent="0.2">
      <c r="A8" s="144" t="s">
        <v>1</v>
      </c>
      <c r="B8" s="159" t="s">
        <v>2</v>
      </c>
      <c r="C8" s="159"/>
      <c r="D8" s="159"/>
      <c r="E8" s="159"/>
      <c r="F8" s="159"/>
      <c r="G8" s="159"/>
      <c r="H8" s="159"/>
      <c r="I8" s="159"/>
      <c r="J8" s="2"/>
      <c r="K8" s="2"/>
      <c r="L8" s="2"/>
      <c r="M8" s="2"/>
      <c r="N8" s="120"/>
      <c r="O8" s="120"/>
      <c r="P8" s="120"/>
      <c r="Q8" s="120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ht="19.5" customHeight="1" x14ac:dyDescent="0.2">
      <c r="A9" s="128" t="s">
        <v>180</v>
      </c>
      <c r="B9" s="160" t="s">
        <v>181</v>
      </c>
      <c r="C9" s="160"/>
      <c r="D9" s="160"/>
      <c r="E9" s="160"/>
      <c r="F9" s="160"/>
      <c r="G9" s="160"/>
      <c r="H9" s="160"/>
      <c r="I9" s="160"/>
      <c r="J9" s="2"/>
      <c r="K9" s="2"/>
      <c r="L9" s="2"/>
      <c r="M9" s="2"/>
      <c r="N9" s="132"/>
      <c r="O9" s="132"/>
      <c r="P9" s="132"/>
      <c r="Q9" s="13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ht="19.5" customHeight="1" x14ac:dyDescent="0.2">
      <c r="A10" s="12"/>
      <c r="B10" s="13"/>
      <c r="C10" s="13"/>
      <c r="D10" s="14"/>
      <c r="E10" s="14"/>
      <c r="F10" s="129"/>
      <c r="G10" s="129"/>
      <c r="H10" s="130"/>
      <c r="I10" s="129"/>
      <c r="J10" s="131"/>
      <c r="K10" s="131"/>
      <c r="L10" s="131"/>
      <c r="M10" s="132"/>
      <c r="N10" s="132"/>
      <c r="O10" s="132"/>
      <c r="P10" s="132"/>
      <c r="Q10" s="13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ht="19.5" customHeight="1" x14ac:dyDescent="0.25">
      <c r="A11" s="96" t="s">
        <v>141</v>
      </c>
      <c r="B11" s="97">
        <v>0.98799999999999999</v>
      </c>
      <c r="C11" s="95"/>
      <c r="D11" s="209" t="s">
        <v>143</v>
      </c>
      <c r="E11" s="209"/>
      <c r="F11" s="95"/>
      <c r="G11" s="210" t="s">
        <v>142</v>
      </c>
      <c r="H11" s="210"/>
      <c r="I11" s="210"/>
      <c r="J11" s="210"/>
      <c r="K11" s="210"/>
      <c r="L11" s="131"/>
      <c r="M11" s="132"/>
      <c r="N11" s="132"/>
      <c r="O11" s="132"/>
      <c r="P11" s="132"/>
      <c r="Q11" s="13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ht="19.5" customHeight="1" x14ac:dyDescent="0.25">
      <c r="A12" s="12"/>
      <c r="B12" s="95"/>
      <c r="C12" s="95"/>
      <c r="D12" s="79" t="s">
        <v>3</v>
      </c>
      <c r="E12" s="100">
        <v>-0.287590580231741</v>
      </c>
      <c r="F12" s="95"/>
      <c r="G12" s="99"/>
      <c r="H12" s="195" t="s">
        <v>3</v>
      </c>
      <c r="I12" s="195"/>
      <c r="J12" s="195" t="s">
        <v>49</v>
      </c>
      <c r="K12" s="195"/>
      <c r="L12" s="131"/>
      <c r="M12" s="132"/>
      <c r="N12" s="132"/>
      <c r="O12" s="132"/>
      <c r="P12" s="132"/>
      <c r="Q12" s="13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ht="30" x14ac:dyDescent="0.25">
      <c r="A13" s="12"/>
      <c r="B13" s="95"/>
      <c r="C13" s="95"/>
      <c r="D13" s="79" t="s">
        <v>49</v>
      </c>
      <c r="E13" s="100">
        <v>0.32976041676842499</v>
      </c>
      <c r="F13" s="95"/>
      <c r="G13" s="96" t="s">
        <v>128</v>
      </c>
      <c r="H13" s="194">
        <v>4.0056007023441836E-2</v>
      </c>
      <c r="I13" s="194"/>
      <c r="J13" s="194">
        <v>0.13948058210375888</v>
      </c>
      <c r="K13" s="194"/>
      <c r="L13" s="131"/>
      <c r="M13" s="132"/>
      <c r="N13" s="132"/>
      <c r="O13" s="132"/>
      <c r="P13" s="132"/>
      <c r="Q13" s="13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ht="30" x14ac:dyDescent="0.25">
      <c r="A14" s="12"/>
      <c r="B14" s="13"/>
      <c r="C14" s="14"/>
      <c r="D14" s="14"/>
      <c r="E14" s="14"/>
      <c r="F14" s="121"/>
      <c r="G14" s="96" t="s">
        <v>144</v>
      </c>
      <c r="H14" s="194">
        <v>5.037180532727787E-2</v>
      </c>
      <c r="I14" s="194"/>
      <c r="J14" s="194">
        <v>0.15994130256133116</v>
      </c>
      <c r="K14" s="194"/>
      <c r="L14" s="131"/>
      <c r="M14" s="132"/>
      <c r="N14" s="132"/>
      <c r="O14" s="132"/>
      <c r="P14" s="132"/>
      <c r="Q14" s="13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ht="45" x14ac:dyDescent="0.25">
      <c r="A15" s="12"/>
      <c r="B15" s="13"/>
      <c r="C15" s="13"/>
      <c r="D15" s="14"/>
      <c r="E15" s="14"/>
      <c r="F15" s="129"/>
      <c r="G15" s="96" t="s">
        <v>145</v>
      </c>
      <c r="H15" s="194">
        <v>0.34729720766596556</v>
      </c>
      <c r="I15" s="194"/>
      <c r="J15" s="194">
        <v>0.60313382491813283</v>
      </c>
      <c r="K15" s="194"/>
      <c r="L15" s="131"/>
      <c r="M15" s="132"/>
      <c r="N15" s="132"/>
      <c r="O15" s="132"/>
      <c r="P15" s="132"/>
      <c r="Q15" s="13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ht="13.5" thickBot="1" x14ac:dyDescent="0.25">
      <c r="A16" s="12"/>
      <c r="B16" s="13"/>
      <c r="C16" s="13"/>
      <c r="D16" s="14"/>
      <c r="E16" s="14"/>
      <c r="F16" s="13"/>
      <c r="G16" s="13"/>
      <c r="H16" s="13"/>
      <c r="I16" s="13"/>
      <c r="J16" s="15"/>
      <c r="K16" s="15"/>
      <c r="L16" s="16"/>
      <c r="M16" s="17"/>
      <c r="N16" s="17"/>
      <c r="O16" s="17"/>
      <c r="P16" s="17"/>
      <c r="Q16" s="17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ht="21.75" customHeight="1" thickBot="1" x14ac:dyDescent="0.25">
      <c r="A17" s="178" t="s">
        <v>23</v>
      </c>
      <c r="B17" s="179"/>
      <c r="C17" s="179"/>
      <c r="D17" s="179"/>
      <c r="E17" s="179"/>
      <c r="F17" s="179"/>
      <c r="G17" s="179"/>
      <c r="H17" s="179"/>
      <c r="I17" s="18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ht="23.25" customHeight="1" x14ac:dyDescent="0.2">
      <c r="A18" s="24" t="s">
        <v>0</v>
      </c>
      <c r="B18" s="197" t="s">
        <v>150</v>
      </c>
      <c r="C18" s="198"/>
      <c r="D18" s="199"/>
      <c r="E18" s="199"/>
      <c r="F18" s="199"/>
      <c r="G18" s="199"/>
      <c r="H18" s="199"/>
      <c r="I18" s="200"/>
      <c r="J18" s="2"/>
      <c r="K18" s="2"/>
      <c r="L18" s="218" t="s">
        <v>8</v>
      </c>
      <c r="M18" s="218"/>
      <c r="N18" s="127"/>
      <c r="O18" s="127"/>
      <c r="P18" s="127"/>
      <c r="Q18" s="127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ht="23.25" customHeight="1" x14ac:dyDescent="0.2">
      <c r="A19" s="3" t="s">
        <v>5</v>
      </c>
      <c r="B19" s="201" t="s">
        <v>135</v>
      </c>
      <c r="C19" s="202"/>
      <c r="D19" s="203"/>
      <c r="E19" s="203"/>
      <c r="F19" s="203"/>
      <c r="G19" s="203"/>
      <c r="H19" s="203"/>
      <c r="I19" s="204"/>
      <c r="J19" s="2"/>
      <c r="K19" s="2"/>
      <c r="L19" s="211" t="s">
        <v>10</v>
      </c>
      <c r="M19" s="211"/>
      <c r="N19" s="127"/>
      <c r="O19" s="127"/>
      <c r="P19" s="127"/>
      <c r="Q19" s="127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ht="23.25" customHeight="1" x14ac:dyDescent="0.2">
      <c r="A20" s="3" t="s">
        <v>6</v>
      </c>
      <c r="B20" s="205" t="s">
        <v>134</v>
      </c>
      <c r="C20" s="206"/>
      <c r="D20" s="207"/>
      <c r="E20" s="207"/>
      <c r="F20" s="207"/>
      <c r="G20" s="207"/>
      <c r="H20" s="207"/>
      <c r="I20" s="208"/>
      <c r="J20" s="2"/>
      <c r="K20" s="2"/>
      <c r="L20" s="211" t="s">
        <v>11</v>
      </c>
      <c r="M20" s="211"/>
      <c r="N20" s="127"/>
      <c r="O20" s="127"/>
      <c r="P20" s="127"/>
      <c r="Q20" s="127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ht="23.25" customHeight="1" x14ac:dyDescent="0.2">
      <c r="A21" s="3" t="s">
        <v>7</v>
      </c>
      <c r="B21" s="201" t="s">
        <v>136</v>
      </c>
      <c r="C21" s="202"/>
      <c r="D21" s="203"/>
      <c r="E21" s="203"/>
      <c r="F21" s="203"/>
      <c r="G21" s="203"/>
      <c r="H21" s="203"/>
      <c r="I21" s="204"/>
      <c r="J21" s="4"/>
      <c r="K21" s="4"/>
      <c r="L21" s="211" t="s">
        <v>21</v>
      </c>
      <c r="M21" s="211"/>
      <c r="N21" s="127"/>
      <c r="O21" s="127"/>
      <c r="P21" s="127"/>
      <c r="Q21" s="127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31.5" customHeight="1" x14ac:dyDescent="0.2">
      <c r="A22" s="3" t="s">
        <v>9</v>
      </c>
      <c r="B22" s="212" t="s">
        <v>149</v>
      </c>
      <c r="C22" s="213"/>
      <c r="D22" s="207"/>
      <c r="E22" s="207"/>
      <c r="F22" s="207"/>
      <c r="G22" s="207"/>
      <c r="H22" s="207"/>
      <c r="I22" s="208"/>
      <c r="J22" s="4"/>
      <c r="K22" s="4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3.5" thickBot="1" x14ac:dyDescent="0.25"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s="19" customFormat="1" ht="24" customHeight="1" thickBot="1" x14ac:dyDescent="0.25">
      <c r="A24" s="178" t="s">
        <v>182</v>
      </c>
      <c r="B24" s="179"/>
      <c r="C24" s="179"/>
      <c r="D24" s="179"/>
      <c r="E24" s="179"/>
      <c r="F24" s="179"/>
      <c r="G24" s="179"/>
      <c r="H24" s="179"/>
      <c r="I24" s="180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</row>
    <row r="25" spans="1:36" thickBot="1" x14ac:dyDescent="0.3">
      <c r="A25" s="214" t="s">
        <v>22</v>
      </c>
      <c r="B25" s="182"/>
      <c r="C25" s="182"/>
      <c r="D25" s="182"/>
      <c r="E25" s="182"/>
      <c r="F25" s="182"/>
      <c r="G25" s="182"/>
      <c r="H25" s="182"/>
      <c r="I25" s="18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ht="12.75" x14ac:dyDescent="0.2">
      <c r="A26" s="147" t="s">
        <v>154</v>
      </c>
      <c r="B26" s="188" t="s">
        <v>155</v>
      </c>
      <c r="C26" s="188"/>
      <c r="D26" s="188" t="s">
        <v>156</v>
      </c>
      <c r="E26" s="188"/>
      <c r="F26" s="188" t="s">
        <v>157</v>
      </c>
      <c r="G26" s="188"/>
      <c r="H26" s="188"/>
      <c r="I26" s="18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ht="12.75" customHeight="1" x14ac:dyDescent="0.2">
      <c r="A27" s="196" t="s">
        <v>160</v>
      </c>
      <c r="B27" s="190" t="s">
        <v>164</v>
      </c>
      <c r="C27" s="190"/>
      <c r="D27" s="190" t="s">
        <v>144</v>
      </c>
      <c r="E27" s="190"/>
      <c r="F27" s="190" t="s">
        <v>162</v>
      </c>
      <c r="G27" s="190"/>
      <c r="H27" s="190"/>
      <c r="I27" s="19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ht="12.75" x14ac:dyDescent="0.2">
      <c r="A28" s="196"/>
      <c r="B28" s="190"/>
      <c r="C28" s="190"/>
      <c r="D28" s="190"/>
      <c r="E28" s="190"/>
      <c r="F28" s="190"/>
      <c r="G28" s="190"/>
      <c r="H28" s="190"/>
      <c r="I28" s="19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ht="12.75" customHeight="1" x14ac:dyDescent="0.2">
      <c r="A29" s="196" t="s">
        <v>160</v>
      </c>
      <c r="B29" s="190" t="s">
        <v>159</v>
      </c>
      <c r="C29" s="190"/>
      <c r="D29" s="190" t="s">
        <v>161</v>
      </c>
      <c r="E29" s="190"/>
      <c r="F29" s="190" t="s">
        <v>163</v>
      </c>
      <c r="G29" s="190"/>
      <c r="H29" s="190"/>
      <c r="I29" s="19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ht="12.75" x14ac:dyDescent="0.2">
      <c r="A30" s="196"/>
      <c r="B30" s="190"/>
      <c r="C30" s="190"/>
      <c r="D30" s="190"/>
      <c r="E30" s="190"/>
      <c r="F30" s="190"/>
      <c r="G30" s="190"/>
      <c r="H30" s="190"/>
      <c r="I30" s="19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ht="13.5" thickBot="1" x14ac:dyDescent="0.25">
      <c r="A31" s="148" t="s">
        <v>160</v>
      </c>
      <c r="B31" s="192" t="s">
        <v>158</v>
      </c>
      <c r="C31" s="192"/>
      <c r="D31" s="192" t="s">
        <v>151</v>
      </c>
      <c r="E31" s="192"/>
      <c r="F31" s="192" t="s">
        <v>45</v>
      </c>
      <c r="G31" s="192"/>
      <c r="H31" s="192"/>
      <c r="I31" s="19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customFormat="1" ht="13.5" thickBot="1" x14ac:dyDescent="0.25"/>
    <row r="33" spans="1:36" customFormat="1" ht="18" customHeight="1" thickBot="1" x14ac:dyDescent="0.25">
      <c r="A33" s="178" t="s">
        <v>165</v>
      </c>
      <c r="B33" s="179"/>
      <c r="C33" s="179"/>
      <c r="D33" s="179"/>
      <c r="E33" s="179"/>
      <c r="F33" s="179"/>
      <c r="G33" s="179"/>
      <c r="H33" s="179"/>
      <c r="I33" s="180"/>
    </row>
    <row r="34" spans="1:36" customFormat="1" thickBot="1" x14ac:dyDescent="0.3">
      <c r="A34" s="181" t="s">
        <v>172</v>
      </c>
      <c r="B34" s="182"/>
      <c r="C34" s="182"/>
      <c r="D34" s="182"/>
      <c r="E34" s="182"/>
      <c r="F34" s="182"/>
      <c r="G34" s="182"/>
      <c r="H34" s="182"/>
      <c r="I34" s="183"/>
    </row>
    <row r="35" spans="1:36" customFormat="1" ht="12.75" x14ac:dyDescent="0.2">
      <c r="A35" s="149" t="s">
        <v>166</v>
      </c>
      <c r="B35" s="184" t="s">
        <v>167</v>
      </c>
      <c r="C35" s="185"/>
      <c r="D35" s="184" t="s">
        <v>168</v>
      </c>
      <c r="E35" s="185"/>
      <c r="F35" s="184" t="s">
        <v>169</v>
      </c>
      <c r="G35" s="186"/>
      <c r="H35" s="187" t="s">
        <v>170</v>
      </c>
      <c r="I35" s="187"/>
    </row>
    <row r="36" spans="1:36" customFormat="1" ht="25.5" x14ac:dyDescent="0.2">
      <c r="A36" s="150" t="s">
        <v>144</v>
      </c>
      <c r="B36" s="175">
        <v>0.119884582328702</v>
      </c>
      <c r="C36" s="175"/>
      <c r="D36" s="175">
        <v>0.119884582328702</v>
      </c>
      <c r="E36" s="175"/>
      <c r="F36" s="175">
        <v>0.10178687034297801</v>
      </c>
      <c r="G36" s="175"/>
      <c r="H36" s="175">
        <v>0.10178687034297801</v>
      </c>
      <c r="I36" s="175"/>
    </row>
    <row r="37" spans="1:36" customFormat="1" ht="25.5" x14ac:dyDescent="0.2">
      <c r="A37" s="150" t="s">
        <v>161</v>
      </c>
      <c r="B37" s="175">
        <v>0.45971620542754865</v>
      </c>
      <c r="C37" s="175"/>
      <c r="D37" s="175">
        <v>0.5033208134589785</v>
      </c>
      <c r="E37" s="175"/>
      <c r="F37" s="175">
        <v>0.45971620542754865</v>
      </c>
      <c r="G37" s="175"/>
      <c r="H37" s="175">
        <v>0.5033208134589785</v>
      </c>
      <c r="I37" s="175"/>
    </row>
    <row r="38" spans="1:36" customFormat="1" ht="12.75" x14ac:dyDescent="0.2">
      <c r="A38" s="151" t="s">
        <v>151</v>
      </c>
      <c r="B38" s="173">
        <v>8.9053438117779923E-2</v>
      </c>
      <c r="C38" s="173"/>
      <c r="D38" s="173">
        <v>8.9053438117779923E-2</v>
      </c>
      <c r="E38" s="173"/>
      <c r="F38" s="173">
        <v>8.9053438117779923E-2</v>
      </c>
      <c r="G38" s="173"/>
      <c r="H38" s="173">
        <v>8.9053438117779923E-2</v>
      </c>
      <c r="I38" s="173"/>
    </row>
    <row r="39" spans="1:36" customFormat="1" ht="12.75" x14ac:dyDescent="0.2">
      <c r="A39" s="151" t="s">
        <v>37</v>
      </c>
      <c r="B39" s="175">
        <f>'Raw data for EV'!$L$17+('Raw data for EV'!$L$18*'PPM Monitoring-EV'!B36)+('Raw data for EV'!$L$19*'PPM Monitoring-EV'!B37)+('Raw data for EV'!$L$20*'PPM Monitoring-EV'!B38)</f>
        <v>-1.4523163505873821E-2</v>
      </c>
      <c r="C39" s="175"/>
      <c r="D39" s="175">
        <f>'Raw data for EV'!$L$17+('Raw data for EV'!$L$18*'PPM Monitoring-EV'!D36)+('Raw data for EV'!$L$19*'PPM Monitoring-EV'!D37)+('Raw data for EV'!$L$20*'PPM Monitoring-EV'!D38)</f>
        <v>-5.6721788838948711E-2</v>
      </c>
      <c r="E39" s="175"/>
      <c r="F39" s="175">
        <f>'Raw data for EV'!$L$17+('Raw data for EV'!$L$18*'PPM Monitoring-EV'!F36)+('Raw data for EV'!$L$19*'PPM Monitoring-EV'!F37)+('Raw data for EV'!$L$20*'PPM Monitoring-EV'!F38)</f>
        <v>5.5640274763976344E-2</v>
      </c>
      <c r="G39" s="175"/>
      <c r="H39" s="175">
        <f>'Raw data for EV'!$L$17+('Raw data for EV'!$L$18*'PPM Monitoring-EV'!H36)+('Raw data for EV'!$L$19*'PPM Monitoring-EV'!H37)+('Raw data for EV'!$L$20*'PPM Monitoring-EV'!H38)</f>
        <v>1.3441649430901453E-2</v>
      </c>
      <c r="I39" s="175"/>
    </row>
    <row r="40" spans="1:36" customFormat="1" ht="12.75" customHeight="1" x14ac:dyDescent="0.2">
      <c r="A40" s="176" t="s">
        <v>173</v>
      </c>
      <c r="B40" s="177"/>
      <c r="C40" s="177"/>
      <c r="D40" s="177"/>
      <c r="E40" s="177"/>
      <c r="F40" s="177"/>
      <c r="G40" s="177"/>
      <c r="H40" s="177"/>
      <c r="I40" s="177"/>
    </row>
    <row r="41" spans="1:36" customFormat="1" ht="12.75" x14ac:dyDescent="0.2">
      <c r="A41" s="152" t="s">
        <v>171</v>
      </c>
      <c r="B41" s="174">
        <v>0.999</v>
      </c>
      <c r="C41" s="174"/>
      <c r="D41" s="174">
        <v>1</v>
      </c>
      <c r="E41" s="174"/>
      <c r="F41" s="174">
        <v>1</v>
      </c>
      <c r="G41" s="174"/>
      <c r="H41" s="174">
        <v>1</v>
      </c>
      <c r="I41" s="174"/>
    </row>
    <row r="42" spans="1:36" customFormat="1" ht="24.75" customHeight="1" x14ac:dyDescent="0.2">
      <c r="A42" s="153" t="s">
        <v>40</v>
      </c>
      <c r="B42" s="167" t="s">
        <v>174</v>
      </c>
      <c r="C42" s="168"/>
      <c r="D42" s="167" t="s">
        <v>175</v>
      </c>
      <c r="E42" s="168"/>
      <c r="F42" s="167" t="s">
        <v>176</v>
      </c>
      <c r="G42" s="168"/>
      <c r="H42" s="167" t="s">
        <v>177</v>
      </c>
      <c r="I42" s="168"/>
    </row>
    <row r="43" spans="1:36" customFormat="1" ht="27" customHeight="1" x14ac:dyDescent="0.2">
      <c r="A43" s="153" t="s">
        <v>15</v>
      </c>
      <c r="B43" s="169" t="s">
        <v>178</v>
      </c>
      <c r="C43" s="170"/>
      <c r="D43" s="169" t="s">
        <v>178</v>
      </c>
      <c r="E43" s="170"/>
      <c r="F43" s="169" t="s">
        <v>178</v>
      </c>
      <c r="G43" s="170"/>
      <c r="H43" s="169" t="s">
        <v>178</v>
      </c>
      <c r="I43" s="170"/>
    </row>
    <row r="44" spans="1:36" ht="12.75" x14ac:dyDescent="0.2">
      <c r="A44" s="153" t="s">
        <v>55</v>
      </c>
      <c r="B44" s="171" t="s">
        <v>13</v>
      </c>
      <c r="C44" s="172"/>
      <c r="D44" s="171" t="s">
        <v>12</v>
      </c>
      <c r="E44" s="172"/>
      <c r="F44" s="171" t="s">
        <v>12</v>
      </c>
      <c r="G44" s="172"/>
      <c r="H44" s="171" t="s">
        <v>12</v>
      </c>
      <c r="I44" s="17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 s="27" customFormat="1" ht="14.25" customHeight="1" thickBot="1" x14ac:dyDescent="0.25">
      <c r="A45" s="25"/>
      <c r="B45" s="26"/>
      <c r="C45" s="26"/>
      <c r="D45" s="26"/>
      <c r="E45" s="26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</row>
    <row r="46" spans="1:36" ht="25.5" customHeight="1" thickBot="1" x14ac:dyDescent="0.25">
      <c r="A46" s="178" t="s">
        <v>183</v>
      </c>
      <c r="B46" s="179"/>
      <c r="C46" s="179"/>
      <c r="D46" s="179"/>
      <c r="E46" s="179"/>
      <c r="F46" s="179"/>
      <c r="G46" s="179"/>
      <c r="H46" s="179"/>
      <c r="I46" s="180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J46" s="2"/>
    </row>
    <row r="47" spans="1:36" ht="5.25" customHeight="1" x14ac:dyDescent="0.2">
      <c r="A47" s="164"/>
      <c r="B47" s="164"/>
      <c r="C47" s="164"/>
      <c r="D47" s="164"/>
      <c r="E47" s="164"/>
      <c r="F47" s="164"/>
      <c r="G47" s="164"/>
      <c r="H47" s="164"/>
      <c r="I47" s="16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J47" s="2"/>
    </row>
    <row r="48" spans="1:36" x14ac:dyDescent="0.25">
      <c r="A48" s="165" t="s">
        <v>16</v>
      </c>
      <c r="B48" s="166"/>
      <c r="C48" s="166"/>
      <c r="D48" s="166"/>
      <c r="E48" s="166"/>
      <c r="F48" s="166"/>
      <c r="G48" s="166"/>
      <c r="H48" s="166"/>
      <c r="I48" s="166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J48" s="2"/>
    </row>
    <row r="49" spans="1:37" ht="12.75" x14ac:dyDescent="0.2">
      <c r="A49" s="6" t="s">
        <v>16</v>
      </c>
      <c r="B49" s="161" t="s">
        <v>189</v>
      </c>
      <c r="C49" s="260"/>
      <c r="D49" s="260"/>
      <c r="E49" s="260"/>
      <c r="F49" s="260"/>
      <c r="G49" s="260"/>
      <c r="H49" s="260"/>
      <c r="I49" s="26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J49" s="2"/>
    </row>
    <row r="50" spans="1:37" ht="12.75" customHeight="1" x14ac:dyDescent="0.2">
      <c r="A50" s="145"/>
      <c r="B50" s="156"/>
      <c r="C50" s="220" t="s">
        <v>197</v>
      </c>
      <c r="D50" s="220"/>
      <c r="E50" s="220"/>
      <c r="F50" s="220"/>
      <c r="G50" s="220"/>
      <c r="H50" s="220"/>
      <c r="I50" s="220"/>
      <c r="J50" s="220"/>
      <c r="K50" s="220" t="s">
        <v>197</v>
      </c>
      <c r="L50" s="220"/>
      <c r="M50" s="220"/>
      <c r="N50" s="220"/>
      <c r="O50" s="220"/>
      <c r="P50" s="220"/>
      <c r="Q50" s="220"/>
      <c r="R50" s="220"/>
      <c r="S50" s="220" t="s">
        <v>197</v>
      </c>
      <c r="T50" s="220"/>
      <c r="U50" s="220"/>
      <c r="V50" s="220"/>
      <c r="W50" s="220"/>
      <c r="X50" s="220"/>
      <c r="Y50" s="220"/>
      <c r="Z50" s="220"/>
      <c r="AA50" s="2"/>
      <c r="AB50" s="2"/>
      <c r="AC50" s="2"/>
      <c r="AJ50" s="2"/>
    </row>
    <row r="51" spans="1:37" ht="45.75" customHeight="1" x14ac:dyDescent="0.2">
      <c r="A51" s="6" t="s">
        <v>17</v>
      </c>
      <c r="B51" s="29" t="s">
        <v>137</v>
      </c>
      <c r="C51" s="29" t="s">
        <v>195</v>
      </c>
      <c r="D51" s="29" t="s">
        <v>190</v>
      </c>
      <c r="E51" s="29" t="s">
        <v>191</v>
      </c>
      <c r="F51" s="29" t="s">
        <v>192</v>
      </c>
      <c r="G51" s="29" t="s">
        <v>193</v>
      </c>
      <c r="H51" s="29" t="s">
        <v>194</v>
      </c>
      <c r="I51" s="29" t="s">
        <v>196</v>
      </c>
      <c r="J51" s="29" t="s">
        <v>198</v>
      </c>
      <c r="K51" s="29" t="s">
        <v>195</v>
      </c>
      <c r="L51" s="29" t="s">
        <v>190</v>
      </c>
      <c r="M51" s="29" t="s">
        <v>191</v>
      </c>
      <c r="N51" s="29" t="s">
        <v>192</v>
      </c>
      <c r="O51" s="29" t="s">
        <v>193</v>
      </c>
      <c r="P51" s="29" t="s">
        <v>194</v>
      </c>
      <c r="Q51" s="29" t="s">
        <v>196</v>
      </c>
      <c r="R51" s="29" t="s">
        <v>198</v>
      </c>
      <c r="S51" s="29" t="s">
        <v>195</v>
      </c>
      <c r="T51" s="29" t="s">
        <v>190</v>
      </c>
      <c r="U51" s="29" t="s">
        <v>191</v>
      </c>
      <c r="V51" s="29" t="s">
        <v>192</v>
      </c>
      <c r="W51" s="29" t="s">
        <v>193</v>
      </c>
      <c r="X51" s="29" t="s">
        <v>194</v>
      </c>
      <c r="Y51" s="29" t="s">
        <v>196</v>
      </c>
      <c r="Z51" s="29" t="s">
        <v>198</v>
      </c>
      <c r="AA51" s="2"/>
      <c r="AB51" s="2"/>
      <c r="AC51" s="2"/>
      <c r="AD51" s="2"/>
      <c r="AK51" s="2"/>
    </row>
    <row r="52" spans="1:37" ht="33" customHeight="1" x14ac:dyDescent="0.2">
      <c r="A52" s="30" t="str">
        <f>A36</f>
        <v>Design Integration with application %</v>
      </c>
      <c r="B52" s="154">
        <v>0.1007</v>
      </c>
      <c r="C52" s="259"/>
      <c r="D52" s="258">
        <f>C52</f>
        <v>0</v>
      </c>
      <c r="E52" s="258">
        <f>D52</f>
        <v>0</v>
      </c>
      <c r="F52" s="258">
        <f>E52</f>
        <v>0</v>
      </c>
      <c r="G52" s="258">
        <f>F52</f>
        <v>0</v>
      </c>
      <c r="H52" s="258">
        <f>G52</f>
        <v>0</v>
      </c>
      <c r="I52" s="258">
        <f>H52</f>
        <v>0</v>
      </c>
      <c r="J52" s="154"/>
      <c r="K52" s="259">
        <f>108/1730</f>
        <v>6.2427745664739881E-2</v>
      </c>
      <c r="L52" s="258">
        <f>K52</f>
        <v>6.2427745664739881E-2</v>
      </c>
      <c r="M52" s="154">
        <f>L52</f>
        <v>6.2427745664739881E-2</v>
      </c>
      <c r="N52" s="258">
        <f>M52</f>
        <v>6.2427745664739881E-2</v>
      </c>
      <c r="O52" s="258">
        <f>N52</f>
        <v>6.2427745664739881E-2</v>
      </c>
      <c r="P52" s="258">
        <f>O52</f>
        <v>6.2427745664739881E-2</v>
      </c>
      <c r="Q52" s="258">
        <f>P52</f>
        <v>6.2427745664739881E-2</v>
      </c>
      <c r="R52" s="154"/>
      <c r="S52" s="259">
        <f>108/1730</f>
        <v>6.2427745664739881E-2</v>
      </c>
      <c r="T52" s="258">
        <f>S52</f>
        <v>6.2427745664739881E-2</v>
      </c>
      <c r="U52" s="154">
        <f>T52</f>
        <v>6.2427745664739881E-2</v>
      </c>
      <c r="V52" s="258">
        <f>U52</f>
        <v>6.2427745664739881E-2</v>
      </c>
      <c r="W52" s="258">
        <f>V52</f>
        <v>6.2427745664739881E-2</v>
      </c>
      <c r="X52" s="258">
        <f>W52</f>
        <v>6.2427745664739881E-2</v>
      </c>
      <c r="Y52" s="258">
        <f>X52</f>
        <v>6.2427745664739881E-2</v>
      </c>
      <c r="Z52" s="154"/>
      <c r="AA52" s="2"/>
      <c r="AB52" s="2"/>
      <c r="AC52" s="2"/>
      <c r="AD52" s="2"/>
      <c r="AK52" s="2"/>
    </row>
    <row r="53" spans="1:37" ht="32.25" customHeight="1" x14ac:dyDescent="0.2">
      <c r="A53" s="30" t="str">
        <f>A37</f>
        <v>Requirement Development and Analysis %</v>
      </c>
      <c r="B53" s="154">
        <v>0.48520000000000002</v>
      </c>
      <c r="C53" s="259"/>
      <c r="D53" s="154"/>
      <c r="E53" s="258">
        <f>D53</f>
        <v>0</v>
      </c>
      <c r="F53" s="258">
        <f>E53</f>
        <v>0</v>
      </c>
      <c r="G53" s="258">
        <f>F53</f>
        <v>0</v>
      </c>
      <c r="H53" s="258">
        <f>G53</f>
        <v>0</v>
      </c>
      <c r="I53" s="258">
        <f>H53</f>
        <v>0</v>
      </c>
      <c r="J53" s="258">
        <f>D53</f>
        <v>0</v>
      </c>
      <c r="K53" s="259">
        <f>120/304</f>
        <v>0.39473684210526316</v>
      </c>
      <c r="L53" s="154"/>
      <c r="M53" s="258">
        <f>L53</f>
        <v>0</v>
      </c>
      <c r="N53" s="258">
        <f>M53</f>
        <v>0</v>
      </c>
      <c r="O53" s="258">
        <f>N53</f>
        <v>0</v>
      </c>
      <c r="P53" s="258">
        <f>O53</f>
        <v>0</v>
      </c>
      <c r="Q53" s="258">
        <f>P53</f>
        <v>0</v>
      </c>
      <c r="R53" s="258">
        <f>L53</f>
        <v>0</v>
      </c>
      <c r="S53" s="259">
        <f>120/304</f>
        <v>0.39473684210526316</v>
      </c>
      <c r="T53" s="154"/>
      <c r="U53" s="258">
        <f>T53</f>
        <v>0</v>
      </c>
      <c r="V53" s="258">
        <f>U53</f>
        <v>0</v>
      </c>
      <c r="W53" s="258">
        <f>V53</f>
        <v>0</v>
      </c>
      <c r="X53" s="258">
        <f>W53</f>
        <v>0</v>
      </c>
      <c r="Y53" s="258">
        <f>X53</f>
        <v>0</v>
      </c>
      <c r="Z53" s="258">
        <f>T53</f>
        <v>0</v>
      </c>
      <c r="AA53" s="2"/>
      <c r="AB53" s="2"/>
      <c r="AC53" s="2"/>
      <c r="AD53" s="2"/>
      <c r="AK53" s="2"/>
    </row>
    <row r="54" spans="1:37" ht="20.25" customHeight="1" x14ac:dyDescent="0.2">
      <c r="A54" s="30" t="str">
        <f>A38</f>
        <v>Code Review Efficiency</v>
      </c>
      <c r="B54" s="155">
        <v>8.2000000000000003E-2</v>
      </c>
      <c r="C54" s="257">
        <f>B54</f>
        <v>8.2000000000000003E-2</v>
      </c>
      <c r="D54" s="257">
        <f>C54</f>
        <v>8.2000000000000003E-2</v>
      </c>
      <c r="E54" s="155">
        <f>G65</f>
        <v>0.66666666666666663</v>
      </c>
      <c r="F54" s="155">
        <f>G66</f>
        <v>0.5</v>
      </c>
      <c r="G54" s="155">
        <f>G67</f>
        <v>0.8</v>
      </c>
      <c r="H54" s="155">
        <f>G68</f>
        <v>1.5</v>
      </c>
      <c r="I54" s="155">
        <f>G69</f>
        <v>0.16666666666666666</v>
      </c>
      <c r="J54" s="155">
        <f>G63</f>
        <v>0.6</v>
      </c>
      <c r="K54" s="257">
        <f>J54</f>
        <v>0.6</v>
      </c>
      <c r="L54" s="257">
        <f>K54</f>
        <v>0.6</v>
      </c>
      <c r="M54" s="155"/>
      <c r="N54" s="155"/>
      <c r="O54" s="155"/>
      <c r="P54" s="155"/>
      <c r="Q54" s="155"/>
      <c r="R54" s="155"/>
      <c r="S54" s="257">
        <f>R54</f>
        <v>0</v>
      </c>
      <c r="T54" s="257">
        <f>S54</f>
        <v>0</v>
      </c>
      <c r="U54" s="155"/>
      <c r="V54" s="155"/>
      <c r="W54" s="155"/>
      <c r="X54" s="155"/>
      <c r="Y54" s="155"/>
      <c r="Z54" s="155"/>
      <c r="AA54" s="2"/>
      <c r="AB54" s="2"/>
      <c r="AC54" s="2"/>
      <c r="AD54" s="2"/>
      <c r="AK54" s="2"/>
    </row>
    <row r="55" spans="1:37" ht="12.75" hidden="1" customHeight="1" x14ac:dyDescent="0.2">
      <c r="A55" s="8" t="s">
        <v>42</v>
      </c>
      <c r="B55" s="31"/>
      <c r="C55" s="31"/>
      <c r="D55" s="31"/>
      <c r="E55" s="7"/>
      <c r="F55" s="31"/>
      <c r="G55" s="31"/>
      <c r="H55" s="31"/>
      <c r="I55" s="31"/>
      <c r="J55" s="31"/>
      <c r="K55" s="31"/>
      <c r="L55" s="31"/>
      <c r="M55" s="7"/>
      <c r="N55" s="31"/>
      <c r="O55" s="31"/>
      <c r="P55" s="31"/>
      <c r="Q55" s="31"/>
      <c r="R55" s="31"/>
      <c r="S55" s="31"/>
      <c r="T55" s="31"/>
      <c r="U55" s="7"/>
      <c r="V55" s="31"/>
      <c r="W55" s="31"/>
      <c r="X55" s="31"/>
      <c r="Y55" s="31"/>
      <c r="Z55" s="31"/>
      <c r="AA55" s="2"/>
      <c r="AB55" s="2"/>
      <c r="AC55" s="2"/>
      <c r="AD55" s="2"/>
      <c r="AK55" s="2"/>
    </row>
    <row r="56" spans="1:37" ht="12.75" x14ac:dyDescent="0.2">
      <c r="A56" s="8" t="s">
        <v>44</v>
      </c>
      <c r="B56" s="262">
        <f>'Raw data for EV'!$L$17+('Raw data for EV'!$L$18*'PPM Monitoring-EV'!B52)+('Raw data for EV'!$L$19*'PPM Monitoring-EV'!B53)+'Raw data for EV'!$L$20*'PPM Monitoring-EV'!B54</f>
        <v>5.4069458804853754E-2</v>
      </c>
      <c r="C56" s="263">
        <f>'Raw data for EV'!$L$17+('Raw data for EV'!$L$18*'PPM Monitoring-EV'!C52)+('Raw data for EV'!$L$19*'PPM Monitoring-EV'!C53)+'Raw data for EV'!$L$20*'PPM Monitoring-EV'!C54</f>
        <v>0.91403087725644161</v>
      </c>
      <c r="D56" s="263">
        <f>'Raw data for EV'!$L$17+('Raw data for EV'!$L$18*'PPM Monitoring-EV'!D52)+('Raw data for EV'!$L$19*'PPM Monitoring-EV'!D53)+'Raw data for EV'!$L$20*'PPM Monitoring-EV'!D54</f>
        <v>0.91403087725644161</v>
      </c>
      <c r="E56" s="263">
        <f>'Raw data for EV'!$L$17+('Raw data for EV'!$L$18*'PPM Monitoring-EV'!E52)+('Raw data for EV'!$L$19*'PPM Monitoring-EV'!E53)+'Raw data for EV'!$L$20*'PPM Monitoring-EV'!E54</f>
        <v>-0.6507500253995766</v>
      </c>
      <c r="F56" s="263">
        <f>'Raw data for EV'!$L$17+('Raw data for EV'!$L$18*'PPM Monitoring-EV'!F52)+('Raw data for EV'!$L$19*'PPM Monitoring-EV'!F53)+'Raw data for EV'!$L$20*'PPM Monitoring-EV'!F54</f>
        <v>-0.20468933479067752</v>
      </c>
      <c r="G56" s="263">
        <f>'Raw data for EV'!$L$17+('Raw data for EV'!$L$18*'PPM Monitoring-EV'!G52)+('Raw data for EV'!$L$19*'PPM Monitoring-EV'!G53)+'Raw data for EV'!$L$20*'PPM Monitoring-EV'!G54</f>
        <v>-1.0075985778866963</v>
      </c>
      <c r="H56" s="263">
        <f>'Raw data for EV'!$L$17+('Raw data for EV'!$L$18*'PPM Monitoring-EV'!H52)+('Raw data for EV'!$L$19*'PPM Monitoring-EV'!H53)+'Raw data for EV'!$L$20*'PPM Monitoring-EV'!H54</f>
        <v>-2.8810534784440724</v>
      </c>
      <c r="I56" s="263">
        <f>'Raw data for EV'!$L$17+('Raw data for EV'!$L$18*'PPM Monitoring-EV'!I52)+('Raw data for EV'!$L$19*'PPM Monitoring-EV'!I53)+'Raw data for EV'!$L$20*'PPM Monitoring-EV'!I54</f>
        <v>0.68743204642712086</v>
      </c>
      <c r="J56" s="263">
        <f>'Raw data for EV'!$L$17+('Raw data for EV'!$L$18*'PPM Monitoring-EV'!J52)+('Raw data for EV'!$L$19*'PPM Monitoring-EV'!J53)+'Raw data for EV'!$L$20*'PPM Monitoring-EV'!J54</f>
        <v>-0.47232574915601688</v>
      </c>
      <c r="K56" s="263">
        <f>'Raw data for EV'!$L$17+('Raw data for EV'!$L$18*'PPM Monitoring-EV'!K52)+('Raw data for EV'!$L$19*'PPM Monitoring-EV'!K53)+'Raw data for EV'!$L$20*'PPM Monitoring-EV'!K54</f>
        <v>-1.0963623066678412</v>
      </c>
      <c r="L56" s="263">
        <f>'Raw data for EV'!$L$17+('Raw data for EV'!$L$18*'PPM Monitoring-EV'!L52)+('Raw data for EV'!$L$19*'PPM Monitoring-EV'!L53)+'Raw data for EV'!$L$20*'PPM Monitoring-EV'!L54</f>
        <v>-0.71435332052686618</v>
      </c>
      <c r="M56" s="263">
        <f>'Raw data for EV'!$L$17+('Raw data for EV'!$L$18*'PPM Monitoring-EV'!M52)+('Raw data for EV'!$L$19*'PPM Monitoring-EV'!M53)+'Raw data for EV'!$L$20*'PPM Monitoring-EV'!M54</f>
        <v>0.89146516566517064</v>
      </c>
      <c r="N56" s="263">
        <f>'Raw data for EV'!$L$17+('Raw data for EV'!$L$18*'PPM Monitoring-EV'!N52)+('Raw data for EV'!$L$19*'PPM Monitoring-EV'!N53)+'Raw data for EV'!$L$20*'PPM Monitoring-EV'!N54</f>
        <v>0.89146516566517064</v>
      </c>
      <c r="O56" s="263">
        <f>'Raw data for EV'!$L$17+('Raw data for EV'!$L$18*'PPM Monitoring-EV'!O52)+('Raw data for EV'!$L$19*'PPM Monitoring-EV'!O53)+'Raw data for EV'!$L$20*'PPM Monitoring-EV'!O54</f>
        <v>0.89146516566517064</v>
      </c>
      <c r="P56" s="263">
        <f>'Raw data for EV'!$L$17+('Raw data for EV'!$L$18*'PPM Monitoring-EV'!P52)+('Raw data for EV'!$L$19*'PPM Monitoring-EV'!P53)+'Raw data for EV'!$L$20*'PPM Monitoring-EV'!P54</f>
        <v>0.89146516566517064</v>
      </c>
      <c r="Q56" s="263">
        <f>'Raw data for EV'!$L$17+('Raw data for EV'!$L$18*'PPM Monitoring-EV'!Q52)+('Raw data for EV'!$L$19*'PPM Monitoring-EV'!Q53)+'Raw data for EV'!$L$20*'PPM Monitoring-EV'!Q54</f>
        <v>0.89146516566517064</v>
      </c>
      <c r="R56" s="263">
        <f>'Raw data for EV'!$L$17+('Raw data for EV'!$L$18*'PPM Monitoring-EV'!R52)+('Raw data for EV'!$L$19*'PPM Monitoring-EV'!R53)+'Raw data for EV'!$L$20*'PPM Monitoring-EV'!R54</f>
        <v>1.1334927370360199</v>
      </c>
      <c r="S56" s="263">
        <f>'Raw data for EV'!$L$17+('Raw data for EV'!$L$18*'PPM Monitoring-EV'!S52)+('Raw data for EV'!$L$19*'PPM Monitoring-EV'!S53)+'Raw data for EV'!$L$20*'PPM Monitoring-EV'!S54</f>
        <v>0.50945617952419564</v>
      </c>
      <c r="T56" s="263">
        <f>'Raw data for EV'!$L$17+('Raw data for EV'!$L$18*'PPM Monitoring-EV'!T52)+('Raw data for EV'!$L$19*'PPM Monitoring-EV'!T53)+'Raw data for EV'!$L$20*'PPM Monitoring-EV'!T54</f>
        <v>0.89146516566517064</v>
      </c>
      <c r="U56" s="263">
        <f>'Raw data for EV'!$L$17+('Raw data for EV'!$L$18*'PPM Monitoring-EV'!U52)+('Raw data for EV'!$L$19*'PPM Monitoring-EV'!U53)+'Raw data for EV'!$L$20*'PPM Monitoring-EV'!U54</f>
        <v>0.89146516566517064</v>
      </c>
      <c r="V56" s="263">
        <f>'Raw data for EV'!$L$17+('Raw data for EV'!$L$18*'PPM Monitoring-EV'!V52)+('Raw data for EV'!$L$19*'PPM Monitoring-EV'!V53)+'Raw data for EV'!$L$20*'PPM Monitoring-EV'!V54</f>
        <v>0.89146516566517064</v>
      </c>
      <c r="W56" s="263">
        <f>'Raw data for EV'!$L$17+('Raw data for EV'!$L$18*'PPM Monitoring-EV'!W52)+('Raw data for EV'!$L$19*'PPM Monitoring-EV'!W53)+'Raw data for EV'!$L$20*'PPM Monitoring-EV'!W54</f>
        <v>0.89146516566517064</v>
      </c>
      <c r="X56" s="263">
        <f>'Raw data for EV'!$L$17+('Raw data for EV'!$L$18*'PPM Monitoring-EV'!X52)+('Raw data for EV'!$L$19*'PPM Monitoring-EV'!X53)+'Raw data for EV'!$L$20*'PPM Monitoring-EV'!X54</f>
        <v>0.89146516566517064</v>
      </c>
      <c r="Y56" s="263">
        <f>'Raw data for EV'!$L$17+('Raw data for EV'!$L$18*'PPM Monitoring-EV'!Y52)+('Raw data for EV'!$L$19*'PPM Monitoring-EV'!Y53)+'Raw data for EV'!$L$20*'PPM Monitoring-EV'!Y54</f>
        <v>0.89146516566517064</v>
      </c>
      <c r="Z56" s="263">
        <f>'Raw data for EV'!$L$17+('Raw data for EV'!$L$18*'PPM Monitoring-EV'!Z52)+('Raw data for EV'!$L$19*'PPM Monitoring-EV'!Z53)+'Raw data for EV'!$L$20*'PPM Monitoring-EV'!Z54</f>
        <v>1.1334927370360199</v>
      </c>
      <c r="AA56" s="2"/>
      <c r="AB56" s="2"/>
      <c r="AC56" s="2"/>
      <c r="AD56" s="2"/>
      <c r="AK56" s="2"/>
    </row>
    <row r="57" spans="1:37" ht="12.75" hidden="1" customHeight="1" x14ac:dyDescent="0.2">
      <c r="A57" s="8" t="s">
        <v>43</v>
      </c>
      <c r="B57" s="31"/>
      <c r="C57" s="31"/>
      <c r="D57" s="31"/>
      <c r="E57" s="7"/>
      <c r="F57" s="31"/>
      <c r="G57" s="31"/>
      <c r="H57" s="31"/>
      <c r="I57" s="31"/>
      <c r="J57" s="31"/>
      <c r="K57" s="31"/>
      <c r="L57" s="31"/>
      <c r="M57" s="7"/>
      <c r="N57" s="31"/>
      <c r="O57" s="31"/>
      <c r="P57" s="31"/>
      <c r="Q57" s="31"/>
      <c r="R57" s="31"/>
      <c r="S57" s="31"/>
      <c r="T57" s="31"/>
      <c r="U57" s="7"/>
      <c r="V57" s="31"/>
      <c r="W57" s="31"/>
      <c r="X57" s="31"/>
      <c r="Y57" s="31"/>
      <c r="Z57" s="31"/>
      <c r="AA57" s="2"/>
      <c r="AB57" s="2"/>
      <c r="AC57" s="2"/>
      <c r="AD57" s="2"/>
      <c r="AK57" s="2"/>
    </row>
    <row r="58" spans="1:37" s="47" customFormat="1" ht="12.75" x14ac:dyDescent="0.2">
      <c r="A58" s="46" t="s">
        <v>209</v>
      </c>
      <c r="B58" s="43"/>
      <c r="C58" s="43"/>
      <c r="D58" s="43"/>
      <c r="E58" s="41"/>
      <c r="F58" s="41"/>
      <c r="G58" s="41"/>
      <c r="H58" s="41"/>
      <c r="I58" s="41"/>
      <c r="J58" s="43"/>
      <c r="K58" s="43"/>
      <c r="L58" s="43"/>
      <c r="M58" s="41"/>
      <c r="N58" s="41"/>
      <c r="O58" s="41"/>
      <c r="P58" s="41"/>
      <c r="Q58" s="41"/>
      <c r="R58" s="43"/>
      <c r="S58" s="43"/>
      <c r="T58" s="43"/>
      <c r="U58" s="41"/>
      <c r="V58" s="41"/>
      <c r="W58" s="41"/>
      <c r="X58" s="41"/>
      <c r="Y58" s="41"/>
      <c r="Z58" s="43"/>
      <c r="AA58" s="2"/>
      <c r="AB58" s="2"/>
      <c r="AC58" s="2"/>
      <c r="AD58" s="2"/>
      <c r="AK58" s="48"/>
    </row>
    <row r="59" spans="1:37" s="47" customFormat="1" ht="12.75" x14ac:dyDescent="0.2">
      <c r="A59" s="46" t="s">
        <v>147</v>
      </c>
      <c r="B59" s="43"/>
      <c r="C59" s="43"/>
      <c r="D59" s="43"/>
      <c r="E59" s="41"/>
      <c r="F59" s="41"/>
      <c r="G59" s="41"/>
      <c r="H59" s="41"/>
      <c r="I59" s="41"/>
      <c r="J59" s="43"/>
      <c r="K59" s="43"/>
      <c r="L59" s="43"/>
      <c r="M59" s="41"/>
      <c r="N59" s="41"/>
      <c r="O59" s="41"/>
      <c r="P59" s="41"/>
      <c r="Q59" s="41"/>
      <c r="R59" s="43"/>
      <c r="S59" s="43"/>
      <c r="T59" s="43"/>
      <c r="U59" s="41"/>
      <c r="V59" s="41"/>
      <c r="W59" s="41"/>
      <c r="X59" s="41"/>
      <c r="Y59" s="41"/>
      <c r="Z59" s="43"/>
      <c r="AA59" s="2"/>
      <c r="AB59" s="2"/>
      <c r="AC59" s="2"/>
      <c r="AD59" s="2"/>
      <c r="AK59" s="48"/>
    </row>
    <row r="60" spans="1:37" ht="12.75" x14ac:dyDescent="0.2">
      <c r="A60" s="8" t="s">
        <v>18</v>
      </c>
      <c r="B60" s="44" t="s">
        <v>178</v>
      </c>
      <c r="C60" s="44" t="s">
        <v>14</v>
      </c>
      <c r="D60" s="44" t="s">
        <v>19</v>
      </c>
      <c r="E60" s="44" t="s">
        <v>19</v>
      </c>
      <c r="F60" s="9"/>
      <c r="G60" s="44"/>
      <c r="H60" s="9"/>
      <c r="I60" s="146"/>
      <c r="J60" s="146"/>
      <c r="K60" s="146"/>
      <c r="L60" s="146" t="s">
        <v>19</v>
      </c>
      <c r="M60" s="146" t="s">
        <v>19</v>
      </c>
      <c r="N60" s="146"/>
      <c r="O60" s="146"/>
      <c r="P60" s="146"/>
      <c r="Q60" s="146"/>
      <c r="R60" s="146"/>
      <c r="S60" s="146"/>
      <c r="T60" s="146" t="s">
        <v>19</v>
      </c>
      <c r="U60" s="146" t="s">
        <v>19</v>
      </c>
      <c r="V60" s="146"/>
      <c r="W60" s="146"/>
      <c r="X60" s="146"/>
      <c r="Y60" s="146"/>
      <c r="Z60" s="146"/>
      <c r="AA60" s="2"/>
      <c r="AB60" s="2"/>
      <c r="AC60" s="2"/>
      <c r="AD60" s="2"/>
      <c r="AK60" s="2"/>
    </row>
    <row r="61" spans="1:37" ht="12.7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7" ht="12.75" x14ac:dyDescent="0.2">
      <c r="A62" s="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7" ht="12.75" x14ac:dyDescent="0.2">
      <c r="A63" s="2"/>
      <c r="B63" s="2"/>
      <c r="C63" s="2"/>
      <c r="D63" s="2"/>
      <c r="E63" s="2">
        <v>12</v>
      </c>
      <c r="F63" s="2">
        <v>20</v>
      </c>
      <c r="G63" s="2">
        <f>E63/F63</f>
        <v>0.6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7" ht="12.7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2.75" x14ac:dyDescent="0.2">
      <c r="A65" s="2"/>
      <c r="B65" s="2"/>
      <c r="C65" s="2"/>
      <c r="D65" s="2" t="s">
        <v>199</v>
      </c>
      <c r="E65" s="2">
        <v>2</v>
      </c>
      <c r="F65" s="2">
        <v>3</v>
      </c>
      <c r="G65" s="2">
        <f>E65/F65</f>
        <v>0.66666666666666663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2.75" x14ac:dyDescent="0.2">
      <c r="A66" s="2"/>
      <c r="B66" s="2"/>
      <c r="C66" s="2"/>
      <c r="D66" s="2" t="s">
        <v>200</v>
      </c>
      <c r="E66" s="2">
        <v>2</v>
      </c>
      <c r="F66" s="2">
        <v>4</v>
      </c>
      <c r="G66" s="2">
        <f t="shared" ref="G66:G69" si="0">E66/F66</f>
        <v>0.5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12.75" x14ac:dyDescent="0.2">
      <c r="A67" s="2"/>
      <c r="B67" s="2"/>
      <c r="C67" s="2"/>
      <c r="D67" s="2" t="s">
        <v>201</v>
      </c>
      <c r="E67" s="2">
        <v>4</v>
      </c>
      <c r="F67" s="2">
        <v>5</v>
      </c>
      <c r="G67" s="2">
        <f t="shared" si="0"/>
        <v>0.8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2.75" x14ac:dyDescent="0.2">
      <c r="A68" s="2"/>
      <c r="B68" s="2"/>
      <c r="C68" s="2"/>
      <c r="D68" s="2" t="s">
        <v>202</v>
      </c>
      <c r="E68" s="2">
        <v>3</v>
      </c>
      <c r="F68" s="2">
        <v>2</v>
      </c>
      <c r="G68" s="2">
        <f t="shared" si="0"/>
        <v>1.5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2.75" x14ac:dyDescent="0.2">
      <c r="A69" s="2"/>
      <c r="B69" s="2"/>
      <c r="C69" s="2"/>
      <c r="D69" s="2" t="s">
        <v>203</v>
      </c>
      <c r="E69" s="2">
        <v>1</v>
      </c>
      <c r="F69" s="2">
        <v>6</v>
      </c>
      <c r="G69" s="2">
        <f t="shared" si="0"/>
        <v>0.16666666666666666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2.7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2.7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2.7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12.7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2.7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2.7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2.7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2.7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12.7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12.7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2.7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2.7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12.7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2.7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2.7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2.7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2.7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2.7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12.7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12.7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12.7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12.7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12.7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12.7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12.7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12.7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spans="1:36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spans="1:36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spans="1:36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spans="1:36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spans="1:36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spans="1:36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spans="1:36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spans="1:36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spans="1:36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spans="1:36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spans="1:36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spans="1:36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spans="1:36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spans="1:36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spans="1:36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spans="1:36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spans="1:36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spans="1:36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spans="1:36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spans="1:36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spans="1:36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spans="1:36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spans="1:36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spans="1:36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spans="1:36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spans="1:36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spans="1:36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spans="1:36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spans="1:36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spans="1:36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spans="1:36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spans="1:36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spans="1:36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spans="1:36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spans="1:36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spans="1:36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spans="1:36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spans="1:36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spans="1:36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spans="1:36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spans="1:36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spans="1:36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spans="1:36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spans="1:36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spans="1:36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spans="1:36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spans="1:36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spans="1:36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spans="1:36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spans="1:36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spans="1:36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spans="1:36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spans="1:36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spans="1:36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spans="1:36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spans="1:36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spans="1:36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spans="1:36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spans="1:36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spans="1:36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spans="1:36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spans="1:36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spans="1:36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spans="1:36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spans="1:36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spans="1:36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spans="1:36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spans="1:36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spans="1:36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spans="1:36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spans="1:36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spans="1:36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spans="1:36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spans="1:36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spans="1:36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spans="1:36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spans="1:36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spans="1:36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spans="1:36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spans="1:36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spans="1:36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spans="1:36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spans="1:36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spans="1:36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spans="1:36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spans="1:36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spans="1:36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spans="1:36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spans="1:36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spans="1:36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spans="1:36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spans="1:36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spans="1:36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spans="1:36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spans="1:36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spans="1:36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spans="1:36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spans="1:36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spans="1:36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spans="1:36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spans="1:36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spans="1:36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spans="1:36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spans="1:36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spans="1:36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spans="1:36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spans="1:36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spans="1:36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spans="1:36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spans="1:36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spans="1:36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spans="1:36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spans="1:36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spans="1:36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spans="1:36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spans="1:36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spans="1:36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spans="1:36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spans="1:36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spans="1:36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spans="1:36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spans="1:36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spans="1:36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spans="1:36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spans="1:36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spans="1:36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spans="1:36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spans="1:36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spans="1:36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spans="1:36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spans="1:36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spans="1:36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spans="1:36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spans="1:36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spans="1:36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spans="1:36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spans="1:36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spans="1:36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spans="1:36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spans="1:36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spans="1:36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spans="1:36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spans="1:36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spans="1:36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spans="1:36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spans="1:36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spans="1:36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spans="1:36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spans="1:36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spans="1:36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spans="1:36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spans="1:36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spans="1:36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</sheetData>
  <protectedRanges>
    <protectedRange sqref="D26" name="Range1_2"/>
  </protectedRanges>
  <mergeCells count="88">
    <mergeCell ref="S50:Z50"/>
    <mergeCell ref="L18:M18"/>
    <mergeCell ref="L19:M19"/>
    <mergeCell ref="L20:M20"/>
    <mergeCell ref="C50:J50"/>
    <mergeCell ref="K50:R50"/>
    <mergeCell ref="L21:M21"/>
    <mergeCell ref="A46:I46"/>
    <mergeCell ref="B22:I22"/>
    <mergeCell ref="B21:I21"/>
    <mergeCell ref="A29:A30"/>
    <mergeCell ref="B29:C30"/>
    <mergeCell ref="D29:E30"/>
    <mergeCell ref="A25:I25"/>
    <mergeCell ref="B31:C31"/>
    <mergeCell ref="D31:E31"/>
    <mergeCell ref="A2:I2"/>
    <mergeCell ref="A6:I6"/>
    <mergeCell ref="A17:I17"/>
    <mergeCell ref="A24:I24"/>
    <mergeCell ref="B18:I18"/>
    <mergeCell ref="B19:I19"/>
    <mergeCell ref="B20:I20"/>
    <mergeCell ref="D11:E11"/>
    <mergeCell ref="G11:K11"/>
    <mergeCell ref="B3:I3"/>
    <mergeCell ref="B26:C26"/>
    <mergeCell ref="D26:E26"/>
    <mergeCell ref="A27:A28"/>
    <mergeCell ref="B27:C28"/>
    <mergeCell ref="D27:E28"/>
    <mergeCell ref="H12:I12"/>
    <mergeCell ref="J12:K12"/>
    <mergeCell ref="H13:I13"/>
    <mergeCell ref="J13:K13"/>
    <mergeCell ref="H14:I14"/>
    <mergeCell ref="F26:I26"/>
    <mergeCell ref="F27:I28"/>
    <mergeCell ref="F29:I30"/>
    <mergeCell ref="F31:I31"/>
    <mergeCell ref="J14:K14"/>
    <mergeCell ref="H15:I15"/>
    <mergeCell ref="J15:K15"/>
    <mergeCell ref="A33:I33"/>
    <mergeCell ref="A34:I34"/>
    <mergeCell ref="B35:C35"/>
    <mergeCell ref="D35:E35"/>
    <mergeCell ref="F35:G35"/>
    <mergeCell ref="H35:I35"/>
    <mergeCell ref="B36:C36"/>
    <mergeCell ref="D36:E36"/>
    <mergeCell ref="F36:G36"/>
    <mergeCell ref="H36:I36"/>
    <mergeCell ref="B37:C37"/>
    <mergeCell ref="D37:E37"/>
    <mergeCell ref="F37:G37"/>
    <mergeCell ref="H37:I37"/>
    <mergeCell ref="H38:I38"/>
    <mergeCell ref="B41:C41"/>
    <mergeCell ref="D41:E41"/>
    <mergeCell ref="F41:G41"/>
    <mergeCell ref="H41:I41"/>
    <mergeCell ref="B39:C39"/>
    <mergeCell ref="D39:E39"/>
    <mergeCell ref="F39:G39"/>
    <mergeCell ref="H39:I39"/>
    <mergeCell ref="A40:I40"/>
    <mergeCell ref="F42:G42"/>
    <mergeCell ref="F43:G43"/>
    <mergeCell ref="B38:C38"/>
    <mergeCell ref="D38:E38"/>
    <mergeCell ref="F38:G38"/>
    <mergeCell ref="A7:I7"/>
    <mergeCell ref="B8:I8"/>
    <mergeCell ref="B9:I9"/>
    <mergeCell ref="B49:I49"/>
    <mergeCell ref="A47:I47"/>
    <mergeCell ref="A48:I48"/>
    <mergeCell ref="H42:I42"/>
    <mergeCell ref="H43:I43"/>
    <mergeCell ref="B44:C44"/>
    <mergeCell ref="D44:E44"/>
    <mergeCell ref="F44:G44"/>
    <mergeCell ref="H44:I44"/>
    <mergeCell ref="B42:C42"/>
    <mergeCell ref="B43:C43"/>
    <mergeCell ref="D42:E42"/>
    <mergeCell ref="D43:E43"/>
  </mergeCells>
  <phoneticPr fontId="32" type="noConversion"/>
  <dataValidations disablePrompts="1" count="1">
    <dataValidation allowBlank="1" showErrorMessage="1" sqref="A9:A16" xr:uid="{00000000-0002-0000-0000-000000000000}"/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N770"/>
  <sheetViews>
    <sheetView showGridLines="0" tabSelected="1" topLeftCell="A45" zoomScaleNormal="100" workbookViewId="0">
      <selection activeCell="A54" sqref="A54"/>
    </sheetView>
  </sheetViews>
  <sheetFormatPr defaultColWidth="14.42578125" defaultRowHeight="15.75" customHeight="1" x14ac:dyDescent="0.2"/>
  <cols>
    <col min="1" max="1" width="26.140625" style="1" customWidth="1"/>
    <col min="2" max="2" width="20.140625" style="1" customWidth="1"/>
    <col min="3" max="3" width="20.5703125" style="1" customWidth="1"/>
    <col min="4" max="5" width="20.140625" style="1" customWidth="1"/>
    <col min="6" max="6" width="18.42578125" style="1" bestFit="1" customWidth="1"/>
    <col min="7" max="7" width="17" style="1" bestFit="1" customWidth="1"/>
    <col min="8" max="8" width="17" style="1" customWidth="1"/>
    <col min="9" max="9" width="24.5703125" style="1" bestFit="1" customWidth="1"/>
    <col min="10" max="10" width="13.140625" style="1" bestFit="1" customWidth="1"/>
    <col min="11" max="11" width="24.28515625" style="1" customWidth="1"/>
    <col min="12" max="12" width="18.42578125" style="1" bestFit="1" customWidth="1"/>
    <col min="13" max="13" width="15.42578125" style="1" bestFit="1" customWidth="1"/>
    <col min="14" max="14" width="21.7109375" style="1" bestFit="1" customWidth="1"/>
    <col min="15" max="15" width="17" style="1" bestFit="1" customWidth="1"/>
    <col min="16" max="16" width="17" style="1" customWidth="1"/>
    <col min="17" max="17" width="13.85546875" style="1" bestFit="1" customWidth="1"/>
    <col min="18" max="21" width="13.85546875" style="1" customWidth="1"/>
    <col min="22" max="22" width="15" style="1" bestFit="1" customWidth="1"/>
    <col min="23" max="23" width="17" style="1" bestFit="1" customWidth="1"/>
    <col min="24" max="24" width="17" style="1" customWidth="1"/>
    <col min="25" max="25" width="13.85546875" style="1" bestFit="1" customWidth="1"/>
    <col min="26" max="26" width="15" style="1" bestFit="1" customWidth="1"/>
    <col min="27" max="27" width="17" style="1" bestFit="1" customWidth="1"/>
    <col min="28" max="28" width="17" style="1" customWidth="1"/>
    <col min="29" max="29" width="13.85546875" style="1" bestFit="1" customWidth="1"/>
    <col min="30" max="30" width="15" style="1" bestFit="1" customWidth="1"/>
    <col min="31" max="31" width="17" style="1" bestFit="1" customWidth="1"/>
    <col min="32" max="32" width="17" style="1" customWidth="1"/>
    <col min="33" max="33" width="13.85546875" style="1" bestFit="1" customWidth="1"/>
    <col min="34" max="16384" width="14.42578125" style="1"/>
  </cols>
  <sheetData>
    <row r="1" spans="1:40" ht="15.75" customHeight="1" thickBot="1" x14ac:dyDescent="0.25"/>
    <row r="2" spans="1:40" s="11" customFormat="1" ht="19.5" customHeight="1" thickBot="1" x14ac:dyDescent="0.25">
      <c r="A2" s="178" t="s">
        <v>39</v>
      </c>
      <c r="B2" s="179"/>
      <c r="C2" s="179"/>
      <c r="D2" s="179"/>
      <c r="E2" s="179"/>
      <c r="F2" s="179"/>
      <c r="G2" s="179"/>
      <c r="H2" s="179"/>
      <c r="I2" s="179"/>
      <c r="J2" s="118"/>
      <c r="K2" s="118"/>
      <c r="L2" s="118"/>
      <c r="M2" s="118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</row>
    <row r="3" spans="1:40" s="11" customFormat="1" ht="36.75" customHeight="1" x14ac:dyDescent="0.2">
      <c r="A3" s="34" t="s">
        <v>38</v>
      </c>
      <c r="B3" s="215" t="s">
        <v>48</v>
      </c>
      <c r="C3" s="216"/>
      <c r="D3" s="216"/>
      <c r="E3" s="216"/>
      <c r="F3" s="216"/>
      <c r="G3" s="216"/>
      <c r="H3" s="216"/>
      <c r="I3" s="217"/>
      <c r="J3" s="90"/>
      <c r="K3" s="90"/>
      <c r="L3" s="90"/>
      <c r="M3" s="9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 spans="1:40" ht="12.7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ht="13.5" thickBo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ht="18.75" customHeight="1" thickBot="1" x14ac:dyDescent="0.25">
      <c r="A6" s="178" t="s">
        <v>179</v>
      </c>
      <c r="B6" s="179"/>
      <c r="C6" s="179"/>
      <c r="D6" s="179"/>
      <c r="E6" s="179"/>
      <c r="F6" s="179"/>
      <c r="G6" s="179"/>
      <c r="H6" s="179"/>
      <c r="I6" s="180"/>
      <c r="J6" s="118"/>
      <c r="K6" s="118"/>
      <c r="L6" s="118"/>
      <c r="M6" s="118"/>
      <c r="N6" s="107"/>
      <c r="O6" s="107"/>
      <c r="P6" s="107"/>
      <c r="Q6" s="107"/>
      <c r="R6" s="107"/>
      <c r="S6" s="107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x14ac:dyDescent="0.25">
      <c r="A7" s="157" t="s">
        <v>140</v>
      </c>
      <c r="B7" s="158"/>
      <c r="C7" s="158"/>
      <c r="D7" s="158"/>
      <c r="E7" s="158"/>
      <c r="F7" s="158"/>
      <c r="G7" s="158"/>
      <c r="H7" s="158"/>
      <c r="I7" s="158"/>
      <c r="J7" s="119"/>
      <c r="K7" s="119"/>
      <c r="L7" s="119"/>
      <c r="M7" s="119"/>
      <c r="N7" s="123"/>
      <c r="O7" s="123"/>
      <c r="P7" s="123"/>
      <c r="Q7" s="123"/>
      <c r="R7" s="124"/>
      <c r="S7" s="124"/>
      <c r="T7" s="124"/>
      <c r="U7" s="124"/>
      <c r="V7" s="28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1:40" ht="12.75" customHeight="1" x14ac:dyDescent="0.2">
      <c r="A8" s="93" t="s">
        <v>1</v>
      </c>
      <c r="B8" s="159" t="s">
        <v>2</v>
      </c>
      <c r="C8" s="159"/>
      <c r="D8" s="159"/>
      <c r="E8" s="159"/>
      <c r="F8" s="159"/>
      <c r="G8" s="159"/>
      <c r="H8" s="159"/>
      <c r="I8" s="159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28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ht="19.5" customHeight="1" x14ac:dyDescent="0.2">
      <c r="A9" s="128" t="s">
        <v>180</v>
      </c>
      <c r="B9" s="160" t="s">
        <v>181</v>
      </c>
      <c r="C9" s="160"/>
      <c r="D9" s="160"/>
      <c r="E9" s="160"/>
      <c r="F9" s="160"/>
      <c r="G9" s="160"/>
      <c r="H9" s="160"/>
      <c r="I9" s="160"/>
      <c r="J9" s="121"/>
      <c r="K9" s="121"/>
      <c r="L9" s="121"/>
      <c r="M9" s="121"/>
      <c r="N9" s="122"/>
      <c r="O9" s="125"/>
      <c r="P9" s="125"/>
      <c r="Q9" s="126"/>
      <c r="R9" s="126"/>
      <c r="S9" s="126"/>
      <c r="T9" s="126"/>
      <c r="U9" s="126"/>
      <c r="V9" s="28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 ht="19.5" customHeight="1" x14ac:dyDescent="0.2">
      <c r="A10" s="12"/>
      <c r="B10" s="95"/>
      <c r="C10" s="95"/>
      <c r="D10" s="95"/>
      <c r="E10" s="95"/>
      <c r="F10" s="95"/>
      <c r="G10" s="95"/>
      <c r="H10" s="95"/>
      <c r="I10" s="95"/>
      <c r="J10" s="13"/>
      <c r="K10" s="13"/>
      <c r="L10" s="13"/>
      <c r="M10" s="13"/>
      <c r="N10" s="122"/>
      <c r="O10" s="125"/>
      <c r="P10" s="125"/>
      <c r="Q10" s="126"/>
      <c r="R10" s="126"/>
      <c r="S10" s="126"/>
      <c r="T10" s="126"/>
      <c r="U10" s="126"/>
      <c r="V10" s="28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 ht="30" x14ac:dyDescent="0.25">
      <c r="A11" s="96" t="s">
        <v>141</v>
      </c>
      <c r="B11" s="97">
        <v>0.62</v>
      </c>
      <c r="C11" s="95"/>
      <c r="D11" s="209" t="s">
        <v>48</v>
      </c>
      <c r="E11" s="209"/>
      <c r="F11" s="95"/>
      <c r="G11" s="210" t="s">
        <v>142</v>
      </c>
      <c r="H11" s="210"/>
      <c r="I11" s="210"/>
      <c r="J11" s="210"/>
      <c r="K11" s="210"/>
      <c r="L11" s="13"/>
      <c r="M11" s="13"/>
      <c r="N11" s="122"/>
      <c r="O11" s="125"/>
      <c r="P11" s="125"/>
      <c r="Q11" s="126"/>
      <c r="R11" s="126"/>
      <c r="S11" s="126"/>
      <c r="T11" s="126"/>
      <c r="U11" s="126"/>
      <c r="V11" s="28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ht="19.5" customHeight="1" x14ac:dyDescent="0.25">
      <c r="A12" s="12"/>
      <c r="B12" s="95"/>
      <c r="C12" s="95"/>
      <c r="D12" s="79" t="s">
        <v>3</v>
      </c>
      <c r="E12" s="98">
        <v>1.2824268146156767E-2</v>
      </c>
      <c r="F12" s="95"/>
      <c r="G12" s="99"/>
      <c r="H12" s="195" t="s">
        <v>3</v>
      </c>
      <c r="I12" s="195"/>
      <c r="J12" s="195" t="s">
        <v>49</v>
      </c>
      <c r="K12" s="195"/>
      <c r="L12" s="13"/>
      <c r="M12" s="13"/>
      <c r="N12" s="15"/>
      <c r="O12" s="16"/>
      <c r="P12" s="16"/>
      <c r="Q12" s="17"/>
      <c r="R12" s="17"/>
      <c r="S12" s="126"/>
      <c r="T12" s="126"/>
      <c r="U12" s="126"/>
      <c r="V12" s="28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1:40" ht="19.5" customHeight="1" x14ac:dyDescent="0.25">
      <c r="A13" s="12"/>
      <c r="B13" s="95"/>
      <c r="C13" s="95"/>
      <c r="D13" s="79" t="s">
        <v>49</v>
      </c>
      <c r="E13" s="98">
        <v>4.881062787625233E-2</v>
      </c>
      <c r="F13" s="95"/>
      <c r="G13" s="96" t="s">
        <v>146</v>
      </c>
      <c r="H13" s="221">
        <v>1.1001283349298903E-2</v>
      </c>
      <c r="I13" s="221"/>
      <c r="J13" s="221">
        <v>8.7437162233007196E-2</v>
      </c>
      <c r="K13" s="221"/>
      <c r="L13" s="13"/>
      <c r="M13" s="13"/>
      <c r="N13" s="15"/>
      <c r="O13" s="16"/>
      <c r="P13" s="16"/>
      <c r="Q13" s="17"/>
      <c r="R13" s="17"/>
      <c r="S13" s="126"/>
      <c r="T13" s="126"/>
      <c r="U13" s="126"/>
      <c r="V13" s="28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1:40" ht="30" x14ac:dyDescent="0.25">
      <c r="A14" s="12"/>
      <c r="B14" s="13"/>
      <c r="C14" s="14"/>
      <c r="D14" s="14"/>
      <c r="E14" s="14"/>
      <c r="F14" s="13"/>
      <c r="G14" s="96" t="s">
        <v>121</v>
      </c>
      <c r="H14" s="194">
        <v>0.53571710627857372</v>
      </c>
      <c r="I14" s="194"/>
      <c r="J14" s="194">
        <v>1.3983178721240668</v>
      </c>
      <c r="K14" s="194"/>
      <c r="L14" s="13"/>
      <c r="M14" s="13"/>
      <c r="N14" s="15"/>
      <c r="O14" s="16"/>
      <c r="P14" s="16"/>
      <c r="Q14" s="17"/>
      <c r="R14" s="17"/>
      <c r="S14" s="126"/>
      <c r="T14" s="126"/>
      <c r="U14" s="126"/>
      <c r="V14" s="28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spans="1:40" ht="13.5" thickBot="1" x14ac:dyDescent="0.25">
      <c r="A15" s="12"/>
      <c r="B15" s="13"/>
      <c r="C15" s="14"/>
      <c r="D15" s="14"/>
      <c r="E15" s="14"/>
      <c r="F15" s="13"/>
      <c r="G15" s="13"/>
      <c r="H15" s="13"/>
      <c r="I15" s="13"/>
      <c r="J15" s="13"/>
      <c r="K15" s="13"/>
      <c r="L15" s="13"/>
      <c r="M15" s="13"/>
      <c r="N15" s="15"/>
      <c r="O15" s="16"/>
      <c r="P15" s="16"/>
      <c r="Q15" s="17"/>
      <c r="R15" s="126"/>
      <c r="S15" s="126"/>
      <c r="T15" s="126"/>
      <c r="U15" s="126"/>
      <c r="V15" s="28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1:40" ht="21.75" customHeight="1" thickBot="1" x14ac:dyDescent="0.25">
      <c r="A16" s="178" t="s">
        <v>23</v>
      </c>
      <c r="B16" s="179"/>
      <c r="C16" s="179"/>
      <c r="D16" s="179"/>
      <c r="E16" s="179"/>
      <c r="F16" s="179"/>
      <c r="G16" s="179"/>
      <c r="H16" s="179"/>
      <c r="I16" s="180"/>
      <c r="J16" s="118"/>
      <c r="K16" s="118"/>
      <c r="L16" s="118"/>
      <c r="M16" s="118"/>
      <c r="N16" s="2"/>
      <c r="O16" s="2"/>
      <c r="P16" s="2"/>
      <c r="Q16" s="2"/>
      <c r="R16" s="28"/>
      <c r="S16" s="28"/>
      <c r="T16" s="28"/>
      <c r="U16" s="28"/>
      <c r="V16" s="28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1:40" ht="23.25" customHeight="1" x14ac:dyDescent="0.2">
      <c r="A17" s="24" t="s">
        <v>0</v>
      </c>
      <c r="B17" s="197" t="s">
        <v>69</v>
      </c>
      <c r="C17" s="199"/>
      <c r="D17" s="199"/>
      <c r="E17" s="199"/>
      <c r="F17" s="199"/>
      <c r="G17" s="199"/>
      <c r="H17" s="199"/>
      <c r="I17" s="200"/>
      <c r="J17" s="91"/>
      <c r="K17" s="91"/>
      <c r="L17" s="91"/>
      <c r="M17" s="91"/>
      <c r="N17" s="2"/>
      <c r="O17" s="218" t="s">
        <v>8</v>
      </c>
      <c r="P17" s="218"/>
      <c r="Q17" s="218"/>
      <c r="R17" s="127"/>
      <c r="S17" s="127"/>
      <c r="T17" s="127"/>
      <c r="U17" s="127"/>
      <c r="V17" s="28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1:40" ht="36.75" customHeight="1" x14ac:dyDescent="0.2">
      <c r="A18" s="3" t="s">
        <v>5</v>
      </c>
      <c r="B18" s="205" t="s">
        <v>139</v>
      </c>
      <c r="C18" s="203"/>
      <c r="D18" s="203"/>
      <c r="E18" s="203"/>
      <c r="F18" s="203"/>
      <c r="G18" s="203"/>
      <c r="H18" s="203"/>
      <c r="I18" s="204"/>
      <c r="J18" s="91"/>
      <c r="K18" s="91"/>
      <c r="L18" s="91"/>
      <c r="M18" s="91"/>
      <c r="N18" s="2"/>
      <c r="O18" s="211" t="s">
        <v>10</v>
      </c>
      <c r="P18" s="211"/>
      <c r="Q18" s="211"/>
      <c r="R18" s="127"/>
      <c r="S18" s="127"/>
      <c r="T18" s="127"/>
      <c r="U18" s="127"/>
      <c r="V18" s="28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0" ht="23.25" customHeight="1" x14ac:dyDescent="0.2">
      <c r="A19" s="3" t="s">
        <v>6</v>
      </c>
      <c r="B19" s="205" t="s">
        <v>50</v>
      </c>
      <c r="C19" s="207"/>
      <c r="D19" s="207"/>
      <c r="E19" s="207"/>
      <c r="F19" s="207"/>
      <c r="G19" s="207"/>
      <c r="H19" s="207"/>
      <c r="I19" s="208"/>
      <c r="J19" s="92"/>
      <c r="K19" s="92"/>
      <c r="L19" s="92"/>
      <c r="M19" s="92"/>
      <c r="N19" s="2"/>
      <c r="O19" s="211" t="s">
        <v>11</v>
      </c>
      <c r="P19" s="211"/>
      <c r="Q19" s="211"/>
      <c r="R19" s="127"/>
      <c r="S19" s="127"/>
      <c r="T19" s="127"/>
      <c r="U19" s="127"/>
      <c r="V19" s="28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0" ht="23.25" customHeight="1" x14ac:dyDescent="0.2">
      <c r="A20" s="3" t="s">
        <v>7</v>
      </c>
      <c r="B20" s="201" t="s">
        <v>121</v>
      </c>
      <c r="C20" s="203"/>
      <c r="D20" s="203"/>
      <c r="E20" s="203"/>
      <c r="F20" s="203"/>
      <c r="G20" s="203"/>
      <c r="H20" s="203"/>
      <c r="I20" s="204"/>
      <c r="J20" s="91"/>
      <c r="K20" s="91"/>
      <c r="L20" s="91"/>
      <c r="M20" s="91"/>
      <c r="N20" s="38"/>
      <c r="O20" s="211" t="s">
        <v>21</v>
      </c>
      <c r="P20" s="211"/>
      <c r="Q20" s="211"/>
      <c r="R20" s="127"/>
      <c r="S20" s="127"/>
      <c r="T20" s="127"/>
      <c r="U20" s="127"/>
      <c r="V20" s="27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0" ht="25.5" customHeight="1" x14ac:dyDescent="0.2">
      <c r="A21" s="3" t="s">
        <v>9</v>
      </c>
      <c r="B21" s="205" t="s">
        <v>184</v>
      </c>
      <c r="C21" s="207"/>
      <c r="D21" s="207"/>
      <c r="E21" s="207"/>
      <c r="F21" s="207"/>
      <c r="G21" s="207"/>
      <c r="H21" s="207"/>
      <c r="I21" s="208"/>
      <c r="J21" s="92"/>
      <c r="K21" s="92"/>
      <c r="L21" s="92"/>
      <c r="M21" s="92"/>
      <c r="N21" s="38"/>
      <c r="R21" s="27"/>
      <c r="S21" s="27"/>
      <c r="T21" s="27"/>
      <c r="U21" s="27"/>
      <c r="V21" s="27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0" customFormat="1" ht="13.5" thickBot="1" x14ac:dyDescent="0.25"/>
    <row r="23" spans="1:40" customFormat="1" thickBot="1" x14ac:dyDescent="0.25">
      <c r="A23" s="178" t="s">
        <v>182</v>
      </c>
      <c r="B23" s="179"/>
      <c r="C23" s="179"/>
      <c r="D23" s="179"/>
      <c r="E23" s="179"/>
      <c r="F23" s="179"/>
      <c r="G23" s="179"/>
      <c r="H23" s="179"/>
      <c r="I23" s="180"/>
    </row>
    <row r="24" spans="1:40" customFormat="1" thickBot="1" x14ac:dyDescent="0.3">
      <c r="A24" s="214" t="s">
        <v>22</v>
      </c>
      <c r="B24" s="182"/>
      <c r="C24" s="182"/>
      <c r="D24" s="182"/>
      <c r="E24" s="182"/>
      <c r="F24" s="182"/>
      <c r="G24" s="182"/>
      <c r="H24" s="182"/>
      <c r="I24" s="183"/>
    </row>
    <row r="25" spans="1:40" customFormat="1" ht="12.75" x14ac:dyDescent="0.2">
      <c r="A25" s="147" t="s">
        <v>154</v>
      </c>
      <c r="B25" s="188" t="s">
        <v>155</v>
      </c>
      <c r="C25" s="188"/>
      <c r="D25" s="188" t="s">
        <v>156</v>
      </c>
      <c r="E25" s="188"/>
      <c r="F25" s="188" t="s">
        <v>157</v>
      </c>
      <c r="G25" s="188"/>
      <c r="H25" s="188"/>
      <c r="I25" s="189"/>
    </row>
    <row r="26" spans="1:40" customFormat="1" ht="12.75" x14ac:dyDescent="0.2">
      <c r="A26" s="196" t="s">
        <v>160</v>
      </c>
      <c r="B26" s="190" t="s">
        <v>164</v>
      </c>
      <c r="C26" s="190"/>
      <c r="D26" s="190" t="s">
        <v>121</v>
      </c>
      <c r="E26" s="190"/>
      <c r="F26" s="190" t="s">
        <v>186</v>
      </c>
      <c r="G26" s="190"/>
      <c r="H26" s="190"/>
      <c r="I26" s="191"/>
    </row>
    <row r="27" spans="1:40" customFormat="1" ht="12.75" x14ac:dyDescent="0.2">
      <c r="A27" s="196"/>
      <c r="B27" s="190"/>
      <c r="C27" s="190"/>
      <c r="D27" s="190"/>
      <c r="E27" s="190"/>
      <c r="F27" s="190"/>
      <c r="G27" s="190"/>
      <c r="H27" s="190"/>
      <c r="I27" s="191"/>
    </row>
    <row r="28" spans="1:40" customFormat="1" ht="13.5" thickBot="1" x14ac:dyDescent="0.25">
      <c r="A28" s="148" t="s">
        <v>160</v>
      </c>
      <c r="B28" s="192" t="s">
        <v>185</v>
      </c>
      <c r="C28" s="192"/>
      <c r="D28" s="192" t="s">
        <v>146</v>
      </c>
      <c r="E28" s="192"/>
      <c r="F28" s="192" t="s">
        <v>45</v>
      </c>
      <c r="G28" s="192"/>
      <c r="H28" s="192"/>
      <c r="I28" s="193"/>
    </row>
    <row r="29" spans="1:40" customFormat="1" ht="13.5" thickBot="1" x14ac:dyDescent="0.25"/>
    <row r="30" spans="1:40" customFormat="1" thickBot="1" x14ac:dyDescent="0.25">
      <c r="A30" s="178" t="s">
        <v>165</v>
      </c>
      <c r="B30" s="179"/>
      <c r="C30" s="179"/>
      <c r="D30" s="179"/>
      <c r="E30" s="179"/>
      <c r="F30" s="179"/>
      <c r="G30" s="179"/>
      <c r="H30" s="179"/>
      <c r="I30" s="180"/>
    </row>
    <row r="31" spans="1:40" customFormat="1" thickBot="1" x14ac:dyDescent="0.3">
      <c r="A31" s="181" t="s">
        <v>172</v>
      </c>
      <c r="B31" s="182"/>
      <c r="C31" s="182"/>
      <c r="D31" s="182"/>
      <c r="E31" s="182"/>
      <c r="F31" s="182"/>
      <c r="G31" s="182"/>
      <c r="H31" s="182"/>
      <c r="I31" s="183"/>
    </row>
    <row r="32" spans="1:40" customFormat="1" ht="12.75" x14ac:dyDescent="0.2">
      <c r="A32" s="149" t="s">
        <v>166</v>
      </c>
      <c r="B32" s="184" t="s">
        <v>167</v>
      </c>
      <c r="C32" s="185"/>
      <c r="D32" s="184" t="s">
        <v>168</v>
      </c>
      <c r="E32" s="185"/>
      <c r="F32" s="184" t="s">
        <v>45</v>
      </c>
      <c r="G32" s="186"/>
      <c r="H32" s="187" t="s">
        <v>45</v>
      </c>
      <c r="I32" s="187"/>
    </row>
    <row r="33" spans="1:40" customFormat="1" ht="12.75" x14ac:dyDescent="0.2">
      <c r="A33" s="150" t="str">
        <f>D26</f>
        <v>Design Review Efficiency</v>
      </c>
      <c r="B33" s="219">
        <v>0.90952379999999999</v>
      </c>
      <c r="C33" s="219"/>
      <c r="D33" s="219">
        <v>1.0328571999999998</v>
      </c>
      <c r="E33" s="219"/>
      <c r="F33" s="175" t="s">
        <v>45</v>
      </c>
      <c r="G33" s="175"/>
      <c r="H33" s="175" t="s">
        <v>45</v>
      </c>
      <c r="I33" s="175"/>
    </row>
    <row r="34" spans="1:40" customFormat="1" ht="12.75" x14ac:dyDescent="0.2">
      <c r="A34" s="150" t="str">
        <f>D28</f>
        <v>% Review Effort</v>
      </c>
      <c r="B34" s="175">
        <v>4.3017250000000007E-2</v>
      </c>
      <c r="C34" s="175"/>
      <c r="D34" s="175">
        <v>4.3017250000000007E-2</v>
      </c>
      <c r="E34" s="175"/>
      <c r="F34" s="175" t="s">
        <v>45</v>
      </c>
      <c r="G34" s="175"/>
      <c r="H34" s="175" t="s">
        <v>45</v>
      </c>
      <c r="I34" s="175"/>
    </row>
    <row r="35" spans="1:40" customFormat="1" ht="12.75" x14ac:dyDescent="0.2">
      <c r="A35" s="151" t="s">
        <v>48</v>
      </c>
      <c r="B35" s="219">
        <f>'Raw data for Defect rate'!$J$18+('Raw data for Defect rate'!$J$19*'PPM Monitoring-Defect Rate'!B33)+('Raw data for Defect rate'!$J$20*'PPM Monitoring-Defect Rate'!B34)</f>
        <v>4.7858228321641098E-2</v>
      </c>
      <c r="C35" s="219"/>
      <c r="D35" s="219">
        <f>'Raw data for Defect rate'!$J$18+('Raw data for Defect rate'!$J$19*'PPM Monitoring-Defect Rate'!D33)+('Raw data for Defect rate'!$J$20*'PPM Monitoring-Defect Rate'!D34)</f>
        <v>4.0900971678358884E-2</v>
      </c>
      <c r="E35" s="219"/>
      <c r="F35" s="175" t="s">
        <v>45</v>
      </c>
      <c r="G35" s="175"/>
      <c r="H35" s="175" t="s">
        <v>45</v>
      </c>
      <c r="I35" s="175"/>
    </row>
    <row r="36" spans="1:40" customFormat="1" ht="12.75" x14ac:dyDescent="0.2">
      <c r="A36" s="176" t="s">
        <v>173</v>
      </c>
      <c r="B36" s="177"/>
      <c r="C36" s="177"/>
      <c r="D36" s="177"/>
      <c r="E36" s="177"/>
      <c r="F36" s="177"/>
      <c r="G36" s="177"/>
      <c r="H36" s="177"/>
      <c r="I36" s="177"/>
    </row>
    <row r="37" spans="1:40" customFormat="1" ht="12.75" x14ac:dyDescent="0.2">
      <c r="A37" s="152" t="s">
        <v>171</v>
      </c>
      <c r="B37" s="174">
        <v>0.56699999999999995</v>
      </c>
      <c r="C37" s="174"/>
      <c r="D37" s="174">
        <v>0.71799999999999997</v>
      </c>
      <c r="E37" s="174"/>
      <c r="F37" s="184" t="s">
        <v>45</v>
      </c>
      <c r="G37" s="186"/>
      <c r="H37" s="187" t="s">
        <v>45</v>
      </c>
      <c r="I37" s="187"/>
    </row>
    <row r="38" spans="1:40" customFormat="1" ht="12.75" x14ac:dyDescent="0.2">
      <c r="A38" s="153" t="s">
        <v>40</v>
      </c>
      <c r="B38" s="167" t="s">
        <v>187</v>
      </c>
      <c r="C38" s="168"/>
      <c r="D38" s="167" t="s">
        <v>188</v>
      </c>
      <c r="E38" s="168"/>
      <c r="F38" s="175" t="s">
        <v>45</v>
      </c>
      <c r="G38" s="175"/>
      <c r="H38" s="175" t="s">
        <v>45</v>
      </c>
      <c r="I38" s="175"/>
    </row>
    <row r="39" spans="1:40" customFormat="1" ht="12.75" x14ac:dyDescent="0.2">
      <c r="A39" s="153" t="s">
        <v>15</v>
      </c>
      <c r="B39" s="169" t="s">
        <v>14</v>
      </c>
      <c r="C39" s="170"/>
      <c r="D39" s="169" t="s">
        <v>178</v>
      </c>
      <c r="E39" s="170"/>
      <c r="F39" s="175" t="s">
        <v>45</v>
      </c>
      <c r="G39" s="175"/>
      <c r="H39" s="175" t="s">
        <v>45</v>
      </c>
      <c r="I39" s="175"/>
    </row>
    <row r="40" spans="1:40" customFormat="1" ht="12.75" x14ac:dyDescent="0.2">
      <c r="A40" s="153" t="s">
        <v>55</v>
      </c>
      <c r="B40" s="171" t="s">
        <v>13</v>
      </c>
      <c r="C40" s="172"/>
      <c r="D40" s="171" t="s">
        <v>12</v>
      </c>
      <c r="E40" s="172"/>
      <c r="F40" s="171" t="s">
        <v>45</v>
      </c>
      <c r="G40" s="172"/>
      <c r="H40" s="171" t="s">
        <v>45</v>
      </c>
      <c r="I40" s="172"/>
    </row>
    <row r="41" spans="1:40" customFormat="1" ht="12.75" x14ac:dyDescent="0.2"/>
    <row r="42" spans="1:40" s="27" customFormat="1" ht="14.25" customHeight="1" thickBot="1" x14ac:dyDescent="0.25">
      <c r="A42" s="25"/>
      <c r="B42" s="39"/>
      <c r="C42" s="39"/>
      <c r="D42" s="39"/>
      <c r="E42" s="39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</row>
    <row r="43" spans="1:40" ht="21" customHeight="1" thickBot="1" x14ac:dyDescent="0.25">
      <c r="A43" s="178" t="s">
        <v>183</v>
      </c>
      <c r="B43" s="179"/>
      <c r="C43" s="179"/>
      <c r="D43" s="179"/>
      <c r="E43" s="179"/>
      <c r="F43" s="179"/>
      <c r="G43" s="179"/>
      <c r="H43" s="179"/>
      <c r="I43" s="180"/>
      <c r="J43" s="118"/>
      <c r="K43" s="118"/>
      <c r="L43" s="118"/>
      <c r="M43" s="118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N43" s="2"/>
    </row>
    <row r="44" spans="1:40" ht="21" customHeight="1" x14ac:dyDescent="0.2">
      <c r="A44" s="264"/>
      <c r="B44" s="264"/>
      <c r="C44" s="264"/>
      <c r="D44" s="264"/>
      <c r="E44" s="264"/>
      <c r="F44" s="264"/>
      <c r="G44" s="264"/>
      <c r="H44" s="264"/>
      <c r="I44" s="264"/>
      <c r="AN44" s="2"/>
    </row>
    <row r="45" spans="1:40" ht="21" customHeight="1" x14ac:dyDescent="0.25">
      <c r="A45" s="265" t="s">
        <v>16</v>
      </c>
      <c r="B45" s="266"/>
      <c r="C45" s="266"/>
      <c r="D45" s="266"/>
      <c r="E45" s="266"/>
      <c r="F45" s="266"/>
      <c r="G45" s="266"/>
      <c r="H45" s="266"/>
      <c r="I45" s="266"/>
      <c r="AN45" s="2"/>
    </row>
    <row r="46" spans="1:40" ht="12.75" customHeight="1" x14ac:dyDescent="0.2">
      <c r="A46" s="6" t="s">
        <v>16</v>
      </c>
      <c r="B46" s="161" t="s">
        <v>189</v>
      </c>
      <c r="C46" s="162"/>
      <c r="D46" s="162"/>
      <c r="E46" s="162"/>
      <c r="F46" s="162"/>
      <c r="G46" s="162"/>
      <c r="H46" s="162"/>
      <c r="I46" s="163"/>
      <c r="AN46" s="2"/>
    </row>
    <row r="47" spans="1:40" ht="45.75" customHeight="1" x14ac:dyDescent="0.2">
      <c r="A47" s="6" t="s">
        <v>17</v>
      </c>
      <c r="B47" s="29" t="s">
        <v>137</v>
      </c>
      <c r="C47" s="29" t="s">
        <v>138</v>
      </c>
      <c r="D47" s="29" t="s">
        <v>204</v>
      </c>
      <c r="E47" s="29" t="s">
        <v>206</v>
      </c>
      <c r="F47" s="29" t="s">
        <v>207</v>
      </c>
      <c r="G47" s="29" t="s">
        <v>208</v>
      </c>
      <c r="H47" s="29" t="s">
        <v>205</v>
      </c>
      <c r="I47" s="29" t="s">
        <v>41</v>
      </c>
      <c r="AN47" s="2"/>
    </row>
    <row r="48" spans="1:40" ht="18.75" customHeight="1" x14ac:dyDescent="0.2">
      <c r="A48" s="30" t="s">
        <v>121</v>
      </c>
      <c r="B48" s="267">
        <v>0.89571428571428602</v>
      </c>
      <c r="C48" s="270">
        <f>B48</f>
        <v>0.89571428571428602</v>
      </c>
      <c r="D48" s="270">
        <f>C48</f>
        <v>0.89571428571428602</v>
      </c>
      <c r="E48" s="267"/>
      <c r="F48" s="270">
        <f>E48</f>
        <v>0</v>
      </c>
      <c r="G48" s="270">
        <f>F48</f>
        <v>0</v>
      </c>
      <c r="H48" s="270">
        <f>G48</f>
        <v>0</v>
      </c>
      <c r="I48" s="270">
        <f>H48</f>
        <v>0</v>
      </c>
      <c r="AN48" s="2"/>
    </row>
    <row r="49" spans="1:40" ht="34.5" customHeight="1" x14ac:dyDescent="0.2">
      <c r="A49" s="30" t="s">
        <v>123</v>
      </c>
      <c r="B49" s="268">
        <v>3.8753754437927224E-2</v>
      </c>
      <c r="C49" s="268">
        <v>4.2599999999999999E-2</v>
      </c>
      <c r="D49" s="268"/>
      <c r="E49" s="268">
        <v>3.2800000000000003E-2</v>
      </c>
      <c r="F49" s="268">
        <v>3.2800000000000003E-2</v>
      </c>
      <c r="G49" s="268">
        <v>3.2800000000000003E-2</v>
      </c>
      <c r="H49" s="268">
        <v>5.8217101273499092E-2</v>
      </c>
      <c r="I49" s="271">
        <f>H49</f>
        <v>5.8217101273499092E-2</v>
      </c>
      <c r="AN49" s="2"/>
    </row>
    <row r="50" spans="1:40" ht="12.75" hidden="1" customHeight="1" x14ac:dyDescent="0.2">
      <c r="A50" s="8" t="s">
        <v>51</v>
      </c>
      <c r="B50" s="31"/>
      <c r="C50" s="31"/>
      <c r="D50" s="31"/>
      <c r="E50" s="7"/>
      <c r="F50" s="31"/>
      <c r="G50" s="31"/>
      <c r="H50" s="31"/>
      <c r="I50" s="7"/>
      <c r="AN50" s="2"/>
    </row>
    <row r="51" spans="1:40" ht="12.75" x14ac:dyDescent="0.2">
      <c r="A51" s="8" t="s">
        <v>66</v>
      </c>
      <c r="B51" s="269">
        <f>'Raw data for Defect rate'!$J$18+('Raw data for Defect rate'!$J$19*B48)+('Raw data for Defect rate'!$J$20*B49)</f>
        <v>5.1686185710545528E-2</v>
      </c>
      <c r="C51" s="269">
        <f>'Raw data for Defect rate'!$J$18+('Raw data for Defect rate'!$J$19*C48)+('Raw data for Defect rate'!$J$20*C49)</f>
        <v>4.893561388092954E-2</v>
      </c>
      <c r="D51" s="269">
        <f>'Raw data for Defect rate'!$J$18+('Raw data for Defect rate'!$J$19*D48)+('Raw data for Defect rate'!$J$20*D49)</f>
        <v>7.9400221002502658E-2</v>
      </c>
      <c r="E51" s="269">
        <f>'Raw data for Defect rate'!$J$18+('Raw data for Defect rate'!$J$19*E48)+('Raw data for Defect rate'!$J$20*E49)</f>
        <v>0.10647128861680825</v>
      </c>
      <c r="F51" s="269">
        <f>'Raw data for Defect rate'!$J$18+('Raw data for Defect rate'!$J$19*F48)+('Raw data for Defect rate'!$J$20*F49)</f>
        <v>0.10647128861680825</v>
      </c>
      <c r="G51" s="269">
        <f>'Raw data for Defect rate'!$J$18+('Raw data for Defect rate'!$J$19*G48)+('Raw data for Defect rate'!$J$20*G49)</f>
        <v>0.10647128861680825</v>
      </c>
      <c r="H51" s="269">
        <f>'Raw data for Defect rate'!$J$18+('Raw data for Defect rate'!$J$19*H48)+('Raw data for Defect rate'!$J$20*H49)</f>
        <v>8.8294715742010477E-2</v>
      </c>
      <c r="I51" s="269">
        <f>'Raw data for Defect rate'!$J$18+('Raw data for Defect rate'!$J$19*I48)+('Raw data for Defect rate'!$J$20*I49)</f>
        <v>8.8294715742010477E-2</v>
      </c>
      <c r="AN51" s="2"/>
    </row>
    <row r="52" spans="1:40" ht="12.75" hidden="1" customHeight="1" x14ac:dyDescent="0.2">
      <c r="A52" s="8" t="s">
        <v>52</v>
      </c>
      <c r="B52" s="31"/>
      <c r="C52" s="31"/>
      <c r="D52" s="31"/>
      <c r="E52" s="31"/>
      <c r="F52" s="31"/>
      <c r="G52" s="31"/>
      <c r="H52" s="31"/>
      <c r="I52" s="7"/>
      <c r="AN52" s="2"/>
    </row>
    <row r="53" spans="1:40" ht="12.75" x14ac:dyDescent="0.2">
      <c r="A53" s="8" t="s">
        <v>209</v>
      </c>
      <c r="B53" s="40"/>
      <c r="C53" s="40"/>
      <c r="D53" s="40"/>
      <c r="E53" s="40"/>
      <c r="F53" s="40"/>
      <c r="G53" s="40"/>
      <c r="H53" s="40"/>
      <c r="I53" s="40"/>
      <c r="AN53" s="2"/>
    </row>
    <row r="54" spans="1:40" ht="102" x14ac:dyDescent="0.2">
      <c r="A54" s="8" t="s">
        <v>147</v>
      </c>
      <c r="B54" s="40" t="s">
        <v>153</v>
      </c>
      <c r="C54" s="40" t="s">
        <v>153</v>
      </c>
      <c r="D54" s="40" t="s">
        <v>153</v>
      </c>
      <c r="E54" s="40" t="s">
        <v>153</v>
      </c>
      <c r="F54" s="40" t="s">
        <v>153</v>
      </c>
      <c r="G54" s="40" t="s">
        <v>153</v>
      </c>
      <c r="H54" s="40" t="s">
        <v>153</v>
      </c>
      <c r="I54" s="40" t="s">
        <v>153</v>
      </c>
      <c r="AN54" s="2"/>
    </row>
    <row r="55" spans="1:40" ht="12.75" x14ac:dyDescent="0.2">
      <c r="A55" s="8" t="s">
        <v>18</v>
      </c>
      <c r="B55" s="33"/>
      <c r="C55" s="33"/>
      <c r="D55" s="44"/>
      <c r="E55" s="33"/>
      <c r="F55" s="33"/>
      <c r="G55" s="33"/>
      <c r="H55" s="44"/>
      <c r="I55" s="33"/>
      <c r="AN55" s="2"/>
    </row>
    <row r="56" spans="1:40" ht="12.7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2.75" x14ac:dyDescent="0.2">
      <c r="A57" s="3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2.7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135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2.7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2.7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2.7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2.7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2.7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2.7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2.7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2.7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2.7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2.7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2.7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2.7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2.7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2.7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2.7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2.7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2.7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2.7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2.7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2.7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2.7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2.7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2.7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2.7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2.7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2.7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2.7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2.7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2.7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2.7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2.7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2.7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2.7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2.7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2.7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2.7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2.7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spans="1:40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spans="1:40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spans="1:40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spans="1:40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1:40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spans="1:40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spans="1:40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spans="1:40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1:40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spans="1:40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spans="1:40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spans="1:40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spans="1:40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1:40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spans="1:40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spans="1:40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spans="1:40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spans="1:40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spans="1:40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spans="1:40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spans="1:40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spans="1:40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spans="1:40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spans="1:40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spans="1:40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spans="1:40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spans="1:40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spans="1:40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spans="1:40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spans="1:40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spans="1:40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spans="1:40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spans="1:40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spans="1:40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spans="1:40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spans="1:40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spans="1:40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spans="1:40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spans="1:40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spans="1:40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spans="1:40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spans="1:40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spans="1:40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spans="1:40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spans="1:40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spans="1:40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spans="1:40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spans="1:40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spans="1:40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spans="1:40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spans="1:40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spans="1:40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spans="1:40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spans="1:40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spans="1:40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spans="1:40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spans="1:40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spans="1:40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spans="1:40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spans="1:40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spans="1:40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spans="1:40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spans="1:40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spans="1:40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spans="1:40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spans="1:40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spans="1:40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spans="1:40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spans="1:40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spans="1:40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spans="1:40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spans="1:40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spans="1:40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spans="1:40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spans="1:40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spans="1:40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spans="1:40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spans="1:40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spans="1:40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spans="1:40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spans="1:40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spans="1:40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spans="1:40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spans="1:40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spans="1:40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spans="1:40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spans="1:40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spans="1:40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spans="1:40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spans="1:40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spans="1:40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spans="1:40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spans="1:40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spans="1:40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spans="1:40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spans="1:40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spans="1:40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spans="1:40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spans="1:40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spans="1:40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spans="1:40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spans="1:40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spans="1:40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spans="1:40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spans="1:40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spans="1:40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spans="1:40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spans="1:40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spans="1:40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spans="1:40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spans="1:40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spans="1:40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spans="1:40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spans="1:40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spans="1:40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spans="1:40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spans="1:40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spans="1:40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spans="1:40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spans="1:40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spans="1:40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spans="1:40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spans="1:40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spans="1:40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spans="1:40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spans="1:40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spans="1:40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spans="1:40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spans="1:40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spans="1:40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spans="1:40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spans="1:40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spans="1:40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spans="1:40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spans="1:40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spans="1:40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spans="1:40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spans="1:40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spans="1:40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spans="1:40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spans="1:40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spans="1:40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spans="1:40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spans="1:40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spans="1:40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spans="1:40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spans="1:40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spans="1:40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spans="1:40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spans="1:40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spans="1:40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spans="1:40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spans="1:40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spans="1:40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spans="1:40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spans="1:40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spans="1:40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spans="1:40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spans="1:40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spans="1:40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spans="1:40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spans="1:40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spans="1:40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spans="1:40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spans="1:40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spans="1:40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spans="1:40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spans="1:40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spans="1:40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spans="1:40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spans="1:40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spans="1:40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spans="1:40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spans="1:40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spans="1:40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spans="1:40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spans="1:40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spans="1:40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spans="1:40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spans="1:40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spans="1:40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spans="1:40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spans="1:40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spans="1:40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spans="1:40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spans="1:40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spans="1:40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spans="1:40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spans="1:40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spans="1:40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spans="1:40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spans="1:40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spans="1:40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spans="1:40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spans="1:40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spans="1:40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spans="1:40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spans="1:40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spans="1:40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spans="1:40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spans="1:40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spans="1:40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spans="1:40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spans="1:40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spans="1:40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spans="1:40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spans="1:40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spans="1:40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spans="1:40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spans="1:40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spans="1:40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spans="1:40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spans="1:40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spans="1:40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spans="1:40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spans="1:40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spans="1:40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spans="1:40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spans="1:40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spans="1:40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spans="1:40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spans="1:40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spans="1:40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spans="1:40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spans="1:40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spans="1:40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spans="1:40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spans="1:40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spans="1:40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spans="1:40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spans="1:40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spans="1:40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spans="1:40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spans="1:40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spans="1:40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spans="1:40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spans="1:40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spans="1:40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spans="1:40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spans="1:40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spans="1:40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spans="1:40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spans="1:40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spans="1:40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spans="1:40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spans="1:40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spans="1:40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spans="1:40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spans="1:40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spans="1:40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spans="1:40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spans="1:40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spans="1:40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spans="1:40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spans="1:40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spans="1:40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spans="1:40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spans="1:40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spans="1:40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spans="1:40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spans="1:40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spans="1:40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spans="1:40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spans="1:40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spans="1:40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spans="1:40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spans="1:40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spans="1:40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spans="1:40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spans="1:40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spans="1:40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spans="1:40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spans="1:40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spans="1:40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spans="1:40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spans="1:40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spans="1:40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spans="1:40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spans="1:40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spans="1:40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spans="1:40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spans="1:40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spans="1:40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spans="1:40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spans="1:40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spans="1:40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spans="1:40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spans="1:40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spans="1:40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spans="1:40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spans="1:40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spans="1:40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spans="1:40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spans="1:40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spans="1:40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spans="1:40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spans="1:40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spans="1:40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spans="1:40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spans="1:40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spans="1:40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spans="1:40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spans="1:40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spans="1:40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spans="1:40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spans="1:40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spans="1:40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spans="1:40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spans="1:40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spans="1:40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spans="1:40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spans="1:40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spans="1:40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spans="1:40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spans="1:40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spans="1:40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spans="1:40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spans="1:40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spans="1:40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spans="1:40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spans="1:40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spans="1:40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spans="1:40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spans="1:40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spans="1:40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spans="1:40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spans="1:40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spans="1:40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spans="1:40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spans="1:40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spans="1:40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spans="1:40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spans="1:40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spans="1:40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spans="1:40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spans="1:40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spans="1:40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spans="1:40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spans="1:40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spans="1:40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spans="1:40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spans="1:40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spans="1:40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spans="1:40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spans="1:40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spans="1:40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spans="1:40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spans="1:40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spans="1:40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spans="1:40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spans="1:40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spans="1:40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spans="1:40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spans="1:40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spans="1:40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spans="1:40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spans="1:40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spans="1:40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spans="1:40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spans="1:40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spans="1:40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spans="1:40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spans="1:40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spans="1:40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spans="1:40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spans="1:40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spans="1:40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spans="1:40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spans="1:40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spans="1:40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spans="1:40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spans="1:40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spans="1:40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spans="1:40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spans="1:40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spans="1:40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spans="1:40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spans="1:40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spans="1:40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spans="1:40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spans="1:40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spans="1:40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spans="1:40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spans="1:40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spans="1:40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spans="1:40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spans="1:40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spans="1:40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spans="1:40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spans="1:40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spans="1:40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spans="1:40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spans="1:40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spans="1:40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spans="1:40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spans="1:40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spans="1:40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spans="1:40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spans="1:40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spans="1:40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spans="1:40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spans="1:40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spans="1:40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spans="1:40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spans="1:40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spans="1:40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spans="1:40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spans="1:40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spans="1:40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spans="1:40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spans="1:40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spans="1:40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spans="1:40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spans="1:40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spans="1:40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spans="1:40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spans="1:40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spans="1:40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spans="1:40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spans="1:40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spans="1:40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spans="1:40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spans="1:40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spans="1:40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spans="1:40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spans="1:40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spans="1:40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spans="1:40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spans="1:40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spans="1:40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spans="1:40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spans="1:40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spans="1:40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spans="1:40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spans="1:40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spans="1:40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spans="1:40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spans="1:40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spans="1:40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spans="1:40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spans="1:40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spans="1:40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spans="1:40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spans="1:40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spans="1:40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spans="1:40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spans="1:40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spans="1:40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spans="1:40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spans="1:40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spans="1:40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spans="1:40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spans="1:40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spans="1:40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spans="1:40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spans="1:40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spans="1:40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spans="1:40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spans="1:40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spans="1:40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spans="1:40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spans="1:40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spans="1:40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spans="1:40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spans="1:40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spans="1:40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spans="1:40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spans="1:40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spans="1:40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spans="1:40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spans="1:40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spans="1:40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spans="1:40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spans="1:40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spans="1:40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spans="1:40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spans="1:40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spans="1:40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spans="1:40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spans="1:40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spans="1:40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spans="1:40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spans="1:40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spans="1:40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spans="1:40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spans="1:40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spans="1:40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spans="1:40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spans="1:40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spans="1:40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spans="1:40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spans="1:40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spans="1:40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spans="1:40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spans="1:40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spans="1:40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spans="1:40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spans="1:40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spans="1:40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spans="1:40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spans="1:40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spans="1:40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spans="1:40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spans="1:40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</sheetData>
  <protectedRanges>
    <protectedRange sqref="D25" name="Range1_2"/>
  </protectedRanges>
  <mergeCells count="73">
    <mergeCell ref="A2:I2"/>
    <mergeCell ref="B3:I3"/>
    <mergeCell ref="A6:I6"/>
    <mergeCell ref="B8:I8"/>
    <mergeCell ref="A7:I7"/>
    <mergeCell ref="B9:I9"/>
    <mergeCell ref="D11:E11"/>
    <mergeCell ref="G11:K11"/>
    <mergeCell ref="H12:I12"/>
    <mergeCell ref="J12:K12"/>
    <mergeCell ref="H13:I13"/>
    <mergeCell ref="J13:K13"/>
    <mergeCell ref="H14:I14"/>
    <mergeCell ref="J14:K14"/>
    <mergeCell ref="B21:I21"/>
    <mergeCell ref="A16:I16"/>
    <mergeCell ref="B17:I17"/>
    <mergeCell ref="O17:Q17"/>
    <mergeCell ref="B18:I18"/>
    <mergeCell ref="O18:Q18"/>
    <mergeCell ref="B19:I19"/>
    <mergeCell ref="O19:Q19"/>
    <mergeCell ref="B20:I20"/>
    <mergeCell ref="O20:Q20"/>
    <mergeCell ref="A23:I23"/>
    <mergeCell ref="A43:I43"/>
    <mergeCell ref="B46:I46"/>
    <mergeCell ref="B28:C28"/>
    <mergeCell ref="D28:E28"/>
    <mergeCell ref="F28:I28"/>
    <mergeCell ref="A24:I24"/>
    <mergeCell ref="B25:C25"/>
    <mergeCell ref="D25:E25"/>
    <mergeCell ref="F25:I25"/>
    <mergeCell ref="A26:A27"/>
    <mergeCell ref="B26:C27"/>
    <mergeCell ref="D26:E27"/>
    <mergeCell ref="F26:I27"/>
    <mergeCell ref="A30:I30"/>
    <mergeCell ref="A31:I31"/>
    <mergeCell ref="B32:C32"/>
    <mergeCell ref="D32:E32"/>
    <mergeCell ref="F32:G32"/>
    <mergeCell ref="H32:I32"/>
    <mergeCell ref="D35:E35"/>
    <mergeCell ref="F35:G35"/>
    <mergeCell ref="H35:I35"/>
    <mergeCell ref="B35:C35"/>
    <mergeCell ref="B33:C33"/>
    <mergeCell ref="D33:E33"/>
    <mergeCell ref="F33:G33"/>
    <mergeCell ref="H33:I33"/>
    <mergeCell ref="B34:C34"/>
    <mergeCell ref="D34:E34"/>
    <mergeCell ref="F34:G34"/>
    <mergeCell ref="H34:I34"/>
    <mergeCell ref="A36:I36"/>
    <mergeCell ref="B37:C37"/>
    <mergeCell ref="D37:E37"/>
    <mergeCell ref="F37:G37"/>
    <mergeCell ref="H37:I37"/>
    <mergeCell ref="B40:C40"/>
    <mergeCell ref="D40:E40"/>
    <mergeCell ref="F40:G40"/>
    <mergeCell ref="H40:I40"/>
    <mergeCell ref="B38:C38"/>
    <mergeCell ref="D38:E38"/>
    <mergeCell ref="F38:G38"/>
    <mergeCell ref="H38:I38"/>
    <mergeCell ref="B39:C39"/>
    <mergeCell ref="D39:E39"/>
    <mergeCell ref="F39:G39"/>
    <mergeCell ref="H39:I39"/>
  </mergeCells>
  <dataValidations count="1">
    <dataValidation allowBlank="1" showErrorMessage="1" sqref="A9:A15" xr:uid="{00000000-0002-0000-0100-000000000000}"/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D936"/>
  <sheetViews>
    <sheetView showGridLines="0" topLeftCell="A2" zoomScale="90" zoomScaleNormal="90" workbookViewId="0">
      <selection activeCell="C7" sqref="C7:C19"/>
    </sheetView>
  </sheetViews>
  <sheetFormatPr defaultColWidth="14.42578125" defaultRowHeight="15.75" customHeight="1" x14ac:dyDescent="0.2"/>
  <cols>
    <col min="1" max="1" width="32.28515625" style="1" customWidth="1"/>
    <col min="2" max="2" width="15.140625" style="1" customWidth="1"/>
    <col min="3" max="3" width="20.140625" style="37" customWidth="1"/>
    <col min="4" max="5" width="20.140625" style="1" customWidth="1"/>
    <col min="6" max="6" width="18.42578125" style="1" bestFit="1" customWidth="1"/>
    <col min="7" max="7" width="17" style="1" bestFit="1" customWidth="1"/>
    <col min="8" max="8" width="24.5703125" style="1" bestFit="1" customWidth="1"/>
    <col min="9" max="9" width="21.7109375" style="1" bestFit="1" customWidth="1"/>
    <col min="10" max="11" width="24" style="1" customWidth="1"/>
    <col min="12" max="12" width="14.140625" style="1" customWidth="1"/>
    <col min="13" max="13" width="15" style="1" bestFit="1" customWidth="1"/>
    <col min="14" max="14" width="17" style="1" bestFit="1" customWidth="1"/>
    <col min="15" max="15" width="13.85546875" style="1" bestFit="1" customWidth="1"/>
    <col min="16" max="16" width="15" style="1" bestFit="1" customWidth="1"/>
    <col min="17" max="17" width="17" style="1" bestFit="1" customWidth="1"/>
    <col min="18" max="18" width="13.85546875" style="1" bestFit="1" customWidth="1"/>
    <col min="19" max="19" width="15" style="1" bestFit="1" customWidth="1"/>
    <col min="20" max="20" width="17" style="1" bestFit="1" customWidth="1"/>
    <col min="21" max="21" width="13.85546875" style="1" bestFit="1" customWidth="1"/>
    <col min="22" max="16384" width="14.42578125" style="1"/>
  </cols>
  <sheetData>
    <row r="1" spans="1:28" ht="12.75" x14ac:dyDescent="0.2">
      <c r="A1" s="2"/>
      <c r="B1" s="2"/>
      <c r="C1" s="35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2.75" x14ac:dyDescent="0.2">
      <c r="A2" s="4"/>
      <c r="B2" s="4"/>
      <c r="C2" s="3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2.75" x14ac:dyDescent="0.2">
      <c r="A3" s="2"/>
      <c r="B3" s="2"/>
      <c r="C3" s="35"/>
      <c r="D3" s="2"/>
      <c r="E3" s="2"/>
      <c r="F3" s="2"/>
      <c r="G3" s="2"/>
      <c r="H3" s="2"/>
      <c r="I3" s="107"/>
      <c r="J3" s="107"/>
      <c r="K3" s="107"/>
      <c r="L3" s="107"/>
      <c r="M3" s="107"/>
      <c r="N3" s="107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21.75" customHeight="1" x14ac:dyDescent="0.2">
      <c r="A4" s="222" t="s">
        <v>148</v>
      </c>
      <c r="B4" s="222"/>
      <c r="C4" s="222"/>
      <c r="D4" s="222"/>
      <c r="E4" s="222"/>
      <c r="F4" s="222"/>
      <c r="G4" s="222"/>
      <c r="H4" s="222"/>
      <c r="I4" s="108"/>
      <c r="J4" s="108"/>
      <c r="K4" s="108"/>
      <c r="L4" s="108"/>
      <c r="M4" s="108"/>
      <c r="N4" s="107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2.75" customHeight="1" x14ac:dyDescent="0.2">
      <c r="A5" s="223" t="s">
        <v>20</v>
      </c>
      <c r="B5" s="223"/>
      <c r="C5" s="224"/>
      <c r="D5" s="18"/>
      <c r="E5" s="18"/>
      <c r="F5" s="18"/>
      <c r="G5" s="18"/>
      <c r="H5" s="5"/>
      <c r="I5" s="108"/>
      <c r="J5" s="108"/>
      <c r="K5" s="108"/>
      <c r="L5" s="108"/>
      <c r="M5" s="107"/>
      <c r="N5" s="107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2.75" x14ac:dyDescent="0.2">
      <c r="A6" s="109"/>
      <c r="B6" s="109"/>
      <c r="C6" s="110"/>
      <c r="D6" s="18"/>
      <c r="E6" s="18"/>
      <c r="F6" s="18"/>
      <c r="G6" s="18"/>
      <c r="H6" s="2"/>
      <c r="I6" s="108"/>
      <c r="J6" s="108"/>
      <c r="K6" s="108"/>
      <c r="L6" s="108"/>
      <c r="M6" s="107"/>
      <c r="N6" s="107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2.75" x14ac:dyDescent="0.2">
      <c r="A7" s="140" t="s">
        <v>152</v>
      </c>
      <c r="B7" s="137" t="s">
        <v>123</v>
      </c>
      <c r="C7" s="137" t="s">
        <v>151</v>
      </c>
      <c r="D7" s="18"/>
      <c r="E7" s="18"/>
      <c r="F7" s="18"/>
      <c r="G7" s="18"/>
      <c r="I7" s="4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2.75" x14ac:dyDescent="0.2">
      <c r="A8" s="138" t="s">
        <v>210</v>
      </c>
      <c r="B8" s="141"/>
      <c r="C8" s="272">
        <f>'PPM Monitoring-EV'!E54</f>
        <v>0.66666666666666663</v>
      </c>
      <c r="D8" s="18"/>
      <c r="E8" s="18"/>
      <c r="F8" s="18"/>
      <c r="G8" s="18"/>
      <c r="H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2.75" x14ac:dyDescent="0.2">
      <c r="A9" s="138"/>
      <c r="B9" s="141"/>
      <c r="C9" s="272">
        <f>'PPM Monitoring-EV'!F54</f>
        <v>0.5</v>
      </c>
      <c r="D9" s="18"/>
      <c r="E9" s="18"/>
      <c r="F9" s="18"/>
      <c r="G9" s="18"/>
      <c r="H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2.75" x14ac:dyDescent="0.2">
      <c r="A10" s="139"/>
      <c r="B10" s="142"/>
      <c r="C10" s="143">
        <f>'PPM Monitoring-EV'!G54</f>
        <v>0.8</v>
      </c>
      <c r="D10" s="18"/>
      <c r="E10" s="18"/>
      <c r="F10" s="18"/>
      <c r="G10" s="18"/>
      <c r="H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2.75" x14ac:dyDescent="0.2">
      <c r="A11" s="139"/>
      <c r="B11" s="142"/>
      <c r="C11" s="143">
        <f>'PPM Monitoring-EV'!H54</f>
        <v>1.5</v>
      </c>
      <c r="D11" s="18"/>
      <c r="E11" s="18"/>
      <c r="F11" s="18"/>
      <c r="G11" s="18"/>
      <c r="H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2.75" x14ac:dyDescent="0.2">
      <c r="A12" s="139"/>
      <c r="B12" s="142"/>
      <c r="C12" s="143">
        <f>'PPM Monitoring-EV'!I54</f>
        <v>0.16666666666666666</v>
      </c>
      <c r="D12" s="18"/>
      <c r="E12" s="18"/>
      <c r="F12" s="18"/>
      <c r="G12" s="18"/>
      <c r="H12" s="2"/>
      <c r="I12" s="22"/>
      <c r="J12" s="22"/>
      <c r="K12" s="22"/>
      <c r="L12" s="2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2.75" x14ac:dyDescent="0.2">
      <c r="A13" s="139"/>
      <c r="B13" s="142"/>
      <c r="C13" s="143">
        <f>'PPM Monitoring-EV'!J54</f>
        <v>0.6</v>
      </c>
      <c r="D13" s="18"/>
      <c r="E13" s="18"/>
      <c r="F13" s="18"/>
      <c r="G13" s="18"/>
      <c r="H13" s="2"/>
      <c r="I13" s="22"/>
      <c r="J13" s="22"/>
      <c r="K13" s="22"/>
      <c r="L13" s="2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2.75" x14ac:dyDescent="0.2">
      <c r="A14" s="139"/>
      <c r="B14" s="142"/>
      <c r="C14" s="143">
        <f>'PPM Monitoring-EV'!M54</f>
        <v>0</v>
      </c>
      <c r="D14" s="18"/>
      <c r="E14" s="18"/>
      <c r="F14" s="18"/>
      <c r="G14" s="18"/>
      <c r="H14" s="2"/>
      <c r="I14" s="22"/>
      <c r="J14" s="22"/>
      <c r="K14" s="22"/>
      <c r="L14" s="2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2.75" x14ac:dyDescent="0.2">
      <c r="A15" s="273"/>
      <c r="B15" s="273"/>
      <c r="C15" s="274">
        <f>'PPM Monitoring-EV'!N54</f>
        <v>0</v>
      </c>
      <c r="D15" s="18"/>
      <c r="E15" s="18"/>
      <c r="F15" s="18"/>
      <c r="G15" s="18"/>
      <c r="H15" s="2"/>
      <c r="I15" s="22"/>
      <c r="J15" s="22"/>
      <c r="K15" s="22"/>
      <c r="L15" s="2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2.75" x14ac:dyDescent="0.2">
      <c r="A16" s="273"/>
      <c r="B16" s="273"/>
      <c r="C16" s="274">
        <f>'PPM Monitoring-EV'!O54</f>
        <v>0</v>
      </c>
      <c r="D16" s="18"/>
      <c r="E16" s="18"/>
      <c r="F16" s="18"/>
      <c r="G16" s="18"/>
      <c r="H16" s="2"/>
      <c r="I16" s="22"/>
      <c r="J16" s="22"/>
      <c r="K16" s="22"/>
      <c r="L16" s="2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2.75" x14ac:dyDescent="0.2">
      <c r="A17" s="273"/>
      <c r="B17" s="273"/>
      <c r="C17" s="274">
        <f>'PPM Monitoring-EV'!P54</f>
        <v>0</v>
      </c>
      <c r="D17" s="18"/>
      <c r="E17" s="18"/>
      <c r="F17" s="18"/>
      <c r="G17" s="18"/>
      <c r="H17" s="2"/>
      <c r="I17" s="22"/>
      <c r="J17" s="22"/>
      <c r="K17" s="22"/>
      <c r="L17" s="2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2.75" x14ac:dyDescent="0.2">
      <c r="A18" s="273"/>
      <c r="B18" s="273"/>
      <c r="C18" s="274">
        <f>'PPM Monitoring-EV'!Q54</f>
        <v>0</v>
      </c>
      <c r="D18" s="18"/>
      <c r="E18" s="18"/>
      <c r="F18" s="18"/>
      <c r="G18" s="18"/>
      <c r="H18" s="2"/>
      <c r="I18" s="22"/>
      <c r="J18" s="22"/>
      <c r="K18" s="22"/>
      <c r="L18" s="2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2.75" x14ac:dyDescent="0.2">
      <c r="A19" s="273"/>
      <c r="B19" s="273"/>
      <c r="C19" s="274">
        <f>'PPM Monitoring-EV'!R54</f>
        <v>0</v>
      </c>
      <c r="D19" s="18"/>
      <c r="E19" s="18"/>
      <c r="F19" s="18"/>
      <c r="G19" s="18"/>
      <c r="H19" s="2"/>
      <c r="I19" s="22"/>
      <c r="J19" s="22"/>
      <c r="K19" s="22"/>
      <c r="L19" s="2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2.75" x14ac:dyDescent="0.2">
      <c r="A20" s="2"/>
      <c r="B20" s="2"/>
      <c r="C20" s="36"/>
      <c r="D20" s="18"/>
      <c r="E20" s="18"/>
      <c r="F20" s="18"/>
      <c r="G20" s="18"/>
      <c r="H20" s="2"/>
      <c r="I20" s="22"/>
      <c r="J20" s="22"/>
      <c r="K20" s="22"/>
      <c r="L20" s="2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2.75" x14ac:dyDescent="0.2">
      <c r="A21" s="2"/>
      <c r="B21" s="2"/>
      <c r="C21" s="36"/>
      <c r="D21" s="18"/>
      <c r="E21" s="18"/>
      <c r="F21" s="18"/>
      <c r="G21" s="18"/>
      <c r="H21" s="2"/>
      <c r="I21" s="22"/>
      <c r="J21" s="22"/>
      <c r="K21" s="22"/>
      <c r="L21" s="2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2.75" x14ac:dyDescent="0.2">
      <c r="A22" s="2"/>
      <c r="B22" s="2"/>
      <c r="C22" s="36"/>
      <c r="D22" s="102"/>
      <c r="E22" s="102"/>
      <c r="F22" s="102"/>
      <c r="G22" s="18"/>
      <c r="H22" s="2"/>
      <c r="I22" s="22"/>
      <c r="J22" s="22"/>
      <c r="K22" s="22"/>
      <c r="L22" s="2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2.75" x14ac:dyDescent="0.2">
      <c r="A23" s="2"/>
      <c r="B23" s="2"/>
      <c r="C23" s="36"/>
      <c r="D23" s="106"/>
      <c r="E23" s="106"/>
      <c r="F23" s="106"/>
      <c r="G23" s="18"/>
      <c r="H23" s="2"/>
      <c r="I23" s="22"/>
      <c r="J23" s="22"/>
      <c r="K23" s="22"/>
      <c r="L23" s="2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2.75" x14ac:dyDescent="0.2">
      <c r="A24" s="2"/>
      <c r="B24" s="2"/>
      <c r="C24" s="36"/>
      <c r="D24" s="106"/>
      <c r="E24" s="106"/>
      <c r="F24" s="106"/>
      <c r="G24" s="18"/>
      <c r="H24" s="2"/>
      <c r="I24" s="22"/>
      <c r="J24" s="22"/>
      <c r="K24" s="22"/>
      <c r="L24" s="2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2.75" x14ac:dyDescent="0.2">
      <c r="A25" s="2"/>
      <c r="B25" s="2"/>
      <c r="C25" s="36"/>
      <c r="D25" s="106"/>
      <c r="E25" s="106"/>
      <c r="F25" s="106"/>
      <c r="G25" s="18"/>
      <c r="H25" s="2"/>
      <c r="I25" s="22"/>
      <c r="J25" s="22"/>
      <c r="K25" s="22"/>
      <c r="L25" s="2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2.75" customHeight="1" x14ac:dyDescent="0.2">
      <c r="A26" s="2"/>
      <c r="B26" s="2"/>
      <c r="C26" s="36"/>
      <c r="G26" s="18"/>
      <c r="H26" s="2"/>
      <c r="I26" s="22"/>
      <c r="J26" s="102"/>
      <c r="K26" s="102"/>
      <c r="L26" s="101"/>
      <c r="M26" s="10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2.75" customHeight="1" x14ac:dyDescent="0.2">
      <c r="A27" s="2"/>
      <c r="B27" s="2"/>
      <c r="C27" s="36"/>
      <c r="G27" s="18"/>
      <c r="H27" s="2"/>
      <c r="I27" s="22"/>
      <c r="J27" s="102"/>
      <c r="K27" s="102"/>
      <c r="L27" s="102"/>
      <c r="M27" s="10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2.75" customHeight="1" x14ac:dyDescent="0.2">
      <c r="A28" s="2"/>
      <c r="B28" s="2"/>
      <c r="C28" s="36"/>
      <c r="G28" s="18"/>
      <c r="H28" s="2"/>
      <c r="I28" s="22"/>
      <c r="J28" s="102"/>
      <c r="K28" s="102"/>
      <c r="L28" s="102"/>
      <c r="M28" s="10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2.75" customHeight="1" x14ac:dyDescent="0.2">
      <c r="A29" s="2"/>
      <c r="B29" s="2"/>
      <c r="C29" s="36"/>
      <c r="G29" s="18"/>
      <c r="H29" s="2"/>
      <c r="I29" s="22"/>
      <c r="J29" s="102"/>
      <c r="K29" s="102"/>
      <c r="L29" s="102"/>
      <c r="M29" s="10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2.75" customHeight="1" x14ac:dyDescent="0.2">
      <c r="A30" s="2"/>
      <c r="B30" s="2"/>
      <c r="C30" s="36"/>
      <c r="G30" s="18"/>
      <c r="H30" s="2"/>
      <c r="I30" s="22"/>
      <c r="J30" s="102"/>
      <c r="K30" s="102"/>
      <c r="L30" s="102"/>
      <c r="M30" s="10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2.75" customHeight="1" x14ac:dyDescent="0.2">
      <c r="A31" s="2"/>
      <c r="B31" s="2"/>
      <c r="C31" s="36"/>
      <c r="G31" s="18"/>
      <c r="H31" s="2"/>
      <c r="I31" s="22"/>
      <c r="J31" s="102"/>
      <c r="K31" s="102"/>
      <c r="L31" s="102"/>
      <c r="M31" s="10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2.75" customHeight="1" x14ac:dyDescent="0.2">
      <c r="A32" s="2"/>
      <c r="B32" s="2"/>
      <c r="C32" s="36"/>
      <c r="G32" s="18"/>
      <c r="H32" s="2"/>
      <c r="I32" s="22"/>
      <c r="J32" s="102"/>
      <c r="K32" s="102"/>
      <c r="L32" s="102"/>
      <c r="M32" s="10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30" ht="12.75" customHeight="1" x14ac:dyDescent="0.2">
      <c r="A33" s="2"/>
      <c r="B33" s="2"/>
      <c r="C33" s="36"/>
      <c r="G33" s="18"/>
      <c r="H33" s="2"/>
      <c r="I33" s="22"/>
      <c r="J33" s="102"/>
      <c r="K33" s="102"/>
      <c r="L33" s="102"/>
      <c r="M33" s="10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30" ht="12.75" customHeight="1" x14ac:dyDescent="0.2">
      <c r="A34" s="2"/>
      <c r="B34" s="2"/>
      <c r="C34" s="36"/>
      <c r="G34" s="18"/>
      <c r="H34" s="2"/>
      <c r="I34" s="22"/>
      <c r="J34" s="102"/>
      <c r="K34" s="102"/>
      <c r="L34" s="102"/>
      <c r="M34" s="10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30" ht="12.75" customHeight="1" x14ac:dyDescent="0.2">
      <c r="A35" s="2"/>
      <c r="B35" s="2"/>
      <c r="C35" s="36"/>
      <c r="G35" s="18"/>
      <c r="H35" s="2"/>
      <c r="I35" s="22"/>
      <c r="J35" s="102"/>
      <c r="K35" s="102"/>
      <c r="L35" s="102"/>
      <c r="M35" s="10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30" ht="12.75" customHeight="1" x14ac:dyDescent="0.2">
      <c r="A36" s="2"/>
      <c r="B36" s="2"/>
      <c r="C36" s="36"/>
      <c r="E36" s="230" t="s">
        <v>36</v>
      </c>
      <c r="F36" s="231"/>
      <c r="G36" s="232"/>
      <c r="H36" s="2"/>
      <c r="I36" s="230" t="s">
        <v>36</v>
      </c>
      <c r="J36" s="231"/>
      <c r="K36" s="232"/>
      <c r="L36" s="102"/>
      <c r="M36" s="102"/>
      <c r="N36" s="240" t="s">
        <v>36</v>
      </c>
      <c r="O36" s="240"/>
      <c r="P36" s="240"/>
      <c r="Q36" s="240"/>
      <c r="R36" s="2"/>
      <c r="S36" s="2"/>
      <c r="T36" s="240" t="s">
        <v>36</v>
      </c>
      <c r="U36" s="240"/>
      <c r="V36" s="240"/>
      <c r="W36" s="240"/>
      <c r="X36" s="2"/>
      <c r="Y36" s="2"/>
      <c r="Z36" s="2"/>
      <c r="AA36" s="240" t="s">
        <v>36</v>
      </c>
      <c r="AB36" s="240"/>
      <c r="AC36" s="240"/>
      <c r="AD36" s="240"/>
    </row>
    <row r="37" spans="1:30" ht="12.75" customHeight="1" x14ac:dyDescent="0.2">
      <c r="A37" s="2"/>
      <c r="B37" s="2"/>
      <c r="C37" s="36"/>
      <c r="E37" s="244" t="s">
        <v>47</v>
      </c>
      <c r="F37" s="245"/>
      <c r="G37" s="246"/>
      <c r="H37" s="2"/>
      <c r="I37" s="244" t="s">
        <v>47</v>
      </c>
      <c r="J37" s="245"/>
      <c r="K37" s="246"/>
      <c r="L37" s="102"/>
      <c r="M37" s="102"/>
      <c r="N37" s="241" t="s">
        <v>47</v>
      </c>
      <c r="O37" s="241"/>
      <c r="P37" s="241"/>
      <c r="Q37" s="241"/>
      <c r="R37" s="2"/>
      <c r="S37" s="2"/>
      <c r="T37" s="241" t="s">
        <v>47</v>
      </c>
      <c r="U37" s="241"/>
      <c r="V37" s="241"/>
      <c r="W37" s="241"/>
      <c r="X37" s="2"/>
      <c r="Y37" s="2"/>
      <c r="Z37" s="2"/>
      <c r="AA37" s="241" t="s">
        <v>47</v>
      </c>
      <c r="AB37" s="241"/>
      <c r="AC37" s="241"/>
      <c r="AD37" s="241"/>
    </row>
    <row r="38" spans="1:30" ht="12.75" customHeight="1" x14ac:dyDescent="0.2">
      <c r="A38" s="2"/>
      <c r="B38" s="2"/>
      <c r="C38" s="36"/>
      <c r="E38" s="247"/>
      <c r="F38" s="248"/>
      <c r="G38" s="249"/>
      <c r="H38" s="2"/>
      <c r="I38" s="247"/>
      <c r="J38" s="248"/>
      <c r="K38" s="249"/>
      <c r="L38" s="102"/>
      <c r="M38" s="102"/>
      <c r="N38" s="241"/>
      <c r="O38" s="241"/>
      <c r="P38" s="241"/>
      <c r="Q38" s="241"/>
      <c r="R38" s="2"/>
      <c r="S38" s="2"/>
      <c r="T38" s="241"/>
      <c r="U38" s="241"/>
      <c r="V38" s="241"/>
      <c r="W38" s="241"/>
      <c r="X38" s="2"/>
      <c r="Y38" s="2"/>
      <c r="Z38" s="2"/>
      <c r="AA38" s="241"/>
      <c r="AB38" s="241"/>
      <c r="AC38" s="241"/>
      <c r="AD38" s="241"/>
    </row>
    <row r="39" spans="1:30" ht="12.75" customHeight="1" x14ac:dyDescent="0.2">
      <c r="A39" s="2"/>
      <c r="B39" s="2"/>
      <c r="C39" s="36"/>
      <c r="E39" s="250"/>
      <c r="F39" s="251"/>
      <c r="G39" s="252"/>
      <c r="H39" s="2"/>
      <c r="I39" s="250"/>
      <c r="J39" s="251"/>
      <c r="K39" s="252"/>
      <c r="L39" s="102"/>
      <c r="M39" s="102"/>
      <c r="N39" s="241"/>
      <c r="O39" s="241"/>
      <c r="P39" s="241"/>
      <c r="Q39" s="241"/>
      <c r="R39" s="2"/>
      <c r="S39" s="2"/>
      <c r="T39" s="241"/>
      <c r="U39" s="241"/>
      <c r="V39" s="241"/>
      <c r="W39" s="241"/>
      <c r="X39" s="2"/>
      <c r="Y39" s="2"/>
      <c r="Z39" s="2"/>
      <c r="AA39" s="241"/>
      <c r="AB39" s="241"/>
      <c r="AC39" s="241"/>
      <c r="AD39" s="241"/>
    </row>
    <row r="40" spans="1:30" ht="12.75" customHeight="1" x14ac:dyDescent="0.2">
      <c r="A40" s="2"/>
      <c r="B40" s="2"/>
      <c r="C40" s="36"/>
      <c r="G40" s="18"/>
      <c r="H40" s="2"/>
      <c r="I40" s="22"/>
      <c r="J40" s="102"/>
      <c r="K40" s="102"/>
      <c r="L40" s="102"/>
      <c r="M40" s="10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30" ht="12.75" customHeight="1" x14ac:dyDescent="0.2">
      <c r="A41" s="2"/>
      <c r="B41" s="2"/>
      <c r="C41" s="36"/>
      <c r="G41" s="18"/>
      <c r="H41" s="2"/>
      <c r="I41" s="22"/>
      <c r="J41" s="102"/>
      <c r="K41" s="102"/>
      <c r="L41" s="102"/>
      <c r="M41" s="10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30" ht="12.75" customHeight="1" x14ac:dyDescent="0.2">
      <c r="A42" s="2"/>
      <c r="B42" s="2"/>
      <c r="C42" s="36"/>
      <c r="G42" s="18"/>
      <c r="H42" s="2"/>
      <c r="I42" s="22"/>
      <c r="J42" s="102"/>
      <c r="K42" s="102"/>
      <c r="L42" s="102"/>
      <c r="M42" s="10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30" ht="12.75" x14ac:dyDescent="0.2">
      <c r="A43" s="2"/>
      <c r="B43" s="2"/>
      <c r="C43" s="36"/>
      <c r="D43" s="94"/>
      <c r="E43" s="94"/>
      <c r="F43" s="94"/>
      <c r="G43" s="18"/>
      <c r="H43" s="2"/>
      <c r="I43" s="22"/>
      <c r="J43" s="102"/>
      <c r="K43" s="102"/>
      <c r="L43" s="102"/>
      <c r="M43" s="10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30" ht="12.75" x14ac:dyDescent="0.2">
      <c r="A44" s="2"/>
      <c r="B44" s="2"/>
      <c r="C44" s="35"/>
      <c r="D44" s="2"/>
      <c r="E44" s="2"/>
      <c r="F44" s="2"/>
      <c r="H44" s="2"/>
      <c r="I44" s="18"/>
      <c r="J44" s="102"/>
      <c r="K44" s="102"/>
      <c r="L44" s="104"/>
      <c r="M44" s="105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30" ht="12.75" x14ac:dyDescent="0.2">
      <c r="A45" s="2"/>
      <c r="B45" s="2"/>
      <c r="C45" s="35"/>
      <c r="D45" s="2"/>
      <c r="E45" s="2"/>
      <c r="F45" s="2"/>
      <c r="G45" s="2"/>
      <c r="H45" s="2"/>
      <c r="I45" s="18"/>
      <c r="J45" s="18"/>
      <c r="K45" s="1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30" ht="12.75" x14ac:dyDescent="0.2">
      <c r="A46" s="2"/>
      <c r="B46" s="2"/>
      <c r="C46" s="35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30" ht="12.75" x14ac:dyDescent="0.2">
      <c r="A47" s="2"/>
      <c r="B47" s="2"/>
      <c r="C47" s="35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30" ht="15" customHeight="1" x14ac:dyDescent="0.2">
      <c r="A48" s="242" t="s">
        <v>46</v>
      </c>
      <c r="B48" s="242"/>
      <c r="C48" s="242"/>
      <c r="D48" s="242"/>
      <c r="E48" s="242"/>
      <c r="F48" s="242"/>
      <c r="G48" s="242"/>
      <c r="H48" s="242"/>
      <c r="I48" s="242"/>
      <c r="J48" s="242"/>
      <c r="K48" s="242"/>
      <c r="L48" s="242"/>
      <c r="M48" s="242"/>
      <c r="N48" s="242"/>
      <c r="O48" s="242"/>
      <c r="P48" s="242"/>
      <c r="Q48" s="24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9" ht="18" x14ac:dyDescent="0.2">
      <c r="A49" s="243"/>
      <c r="B49" s="243"/>
      <c r="C49" s="243"/>
      <c r="D49" s="243"/>
      <c r="E49" s="243"/>
      <c r="F49" s="243"/>
      <c r="G49" s="243"/>
      <c r="H49" s="243"/>
      <c r="I49" s="243"/>
      <c r="J49" s="243"/>
      <c r="K49" s="243"/>
      <c r="L49" s="243"/>
      <c r="M49" s="243"/>
      <c r="N49" s="243"/>
      <c r="O49" s="243"/>
      <c r="P49" s="243"/>
      <c r="Q49" s="243"/>
      <c r="R49" s="116"/>
      <c r="S49" s="116"/>
      <c r="T49" s="2"/>
      <c r="U49" s="2"/>
      <c r="V49" s="2"/>
      <c r="W49" s="2"/>
      <c r="X49" s="2"/>
      <c r="Y49" s="2"/>
      <c r="Z49" s="2"/>
      <c r="AA49" s="2"/>
      <c r="AB49" s="2"/>
    </row>
    <row r="50" spans="1:29" ht="18" customHeight="1" x14ac:dyDescent="0.2">
      <c r="A50" s="225" t="s">
        <v>24</v>
      </c>
      <c r="B50" s="136"/>
      <c r="C50" s="227" t="s">
        <v>65</v>
      </c>
      <c r="D50" s="227" t="s">
        <v>25</v>
      </c>
      <c r="E50" s="228" t="s">
        <v>26</v>
      </c>
      <c r="F50" s="234" t="s">
        <v>27</v>
      </c>
      <c r="G50" s="235"/>
      <c r="H50" s="235"/>
      <c r="I50" s="235"/>
      <c r="J50" s="236"/>
      <c r="K50" s="237" t="s">
        <v>53</v>
      </c>
      <c r="L50" s="117"/>
      <c r="M50" s="237" t="s">
        <v>28</v>
      </c>
      <c r="N50" s="237" t="s">
        <v>29</v>
      </c>
      <c r="O50" s="237" t="s">
        <v>30</v>
      </c>
      <c r="P50" s="233" t="s">
        <v>28</v>
      </c>
      <c r="Q50" s="233" t="s">
        <v>29</v>
      </c>
      <c r="R50" s="2"/>
      <c r="S50" s="2"/>
      <c r="T50" s="2"/>
      <c r="U50" s="2"/>
      <c r="V50" s="2"/>
      <c r="W50" s="2"/>
      <c r="X50" s="2"/>
      <c r="Y50" s="2"/>
      <c r="Z50" s="2"/>
    </row>
    <row r="51" spans="1:29" ht="36.75" thickBot="1" x14ac:dyDescent="0.25">
      <c r="A51" s="226"/>
      <c r="B51" s="136"/>
      <c r="C51" s="227"/>
      <c r="D51" s="227"/>
      <c r="E51" s="229"/>
      <c r="F51" s="32" t="s">
        <v>31</v>
      </c>
      <c r="G51" s="32" t="s">
        <v>32</v>
      </c>
      <c r="H51" s="32" t="s">
        <v>33</v>
      </c>
      <c r="I51" s="32" t="s">
        <v>34</v>
      </c>
      <c r="J51" s="32" t="s">
        <v>35</v>
      </c>
      <c r="K51" s="238"/>
      <c r="L51" s="45" t="s">
        <v>55</v>
      </c>
      <c r="M51" s="238"/>
      <c r="N51" s="238"/>
      <c r="O51" s="238"/>
      <c r="P51" s="239"/>
      <c r="Q51" s="233"/>
      <c r="R51" s="2"/>
      <c r="S51" s="2"/>
      <c r="T51" s="2"/>
      <c r="U51" s="2"/>
      <c r="V51" s="2"/>
      <c r="W51" s="2"/>
      <c r="X51" s="2"/>
      <c r="Y51" s="2"/>
      <c r="Z51" s="2"/>
    </row>
    <row r="52" spans="1:29" s="27" customFormat="1" ht="123" customHeight="1" x14ac:dyDescent="0.2">
      <c r="A52" s="20"/>
      <c r="B52" s="20"/>
      <c r="C52" s="111"/>
      <c r="D52" s="111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112"/>
      <c r="Q52" s="20"/>
      <c r="R52" s="114"/>
      <c r="S52" s="114"/>
      <c r="T52" s="114"/>
      <c r="U52" s="28"/>
      <c r="V52" s="28"/>
      <c r="W52" s="28"/>
      <c r="X52" s="28"/>
      <c r="Y52" s="28"/>
      <c r="Z52" s="28"/>
      <c r="AA52" s="28"/>
      <c r="AB52" s="28"/>
      <c r="AC52" s="28"/>
    </row>
    <row r="53" spans="1:29" s="27" customFormat="1" ht="12.75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112"/>
      <c r="O53" s="20"/>
      <c r="P53" s="20"/>
      <c r="Q53" s="20"/>
      <c r="R53" s="114"/>
      <c r="S53" s="107"/>
      <c r="T53" s="107"/>
      <c r="U53" s="28"/>
      <c r="V53" s="28"/>
      <c r="W53" s="28"/>
      <c r="X53" s="28"/>
      <c r="Y53" s="28"/>
      <c r="Z53" s="28"/>
      <c r="AA53" s="28"/>
    </row>
    <row r="54" spans="1:29" s="27" customFormat="1" ht="12.75" x14ac:dyDescent="0.2">
      <c r="A54" s="20"/>
      <c r="B54" s="20"/>
      <c r="C54" s="113"/>
      <c r="D54" s="113"/>
      <c r="E54" s="113"/>
      <c r="F54" s="113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114"/>
      <c r="S54" s="114"/>
      <c r="T54" s="107"/>
      <c r="U54" s="28"/>
      <c r="V54" s="28"/>
      <c r="W54" s="28"/>
      <c r="X54" s="28"/>
      <c r="Y54" s="28"/>
      <c r="Z54" s="28"/>
      <c r="AA54" s="28"/>
      <c r="AB54" s="28"/>
    </row>
    <row r="55" spans="1:29" s="27" customFormat="1" ht="12.75" x14ac:dyDescent="0.2">
      <c r="A55" s="21"/>
      <c r="B55" s="21"/>
      <c r="C55" s="113"/>
      <c r="D55" s="113"/>
      <c r="E55" s="113"/>
      <c r="F55" s="113"/>
      <c r="G55" s="20"/>
      <c r="H55" s="20"/>
      <c r="I55" s="21"/>
      <c r="J55" s="21"/>
      <c r="K55" s="21"/>
      <c r="L55" s="21"/>
      <c r="M55" s="21"/>
      <c r="N55" s="21"/>
      <c r="O55" s="21"/>
      <c r="P55" s="21"/>
      <c r="Q55" s="21"/>
      <c r="R55" s="115"/>
      <c r="S55" s="115"/>
      <c r="T55" s="107"/>
      <c r="U55" s="28"/>
      <c r="V55" s="28"/>
      <c r="W55" s="28"/>
      <c r="X55" s="28"/>
      <c r="Y55" s="28"/>
      <c r="Z55" s="28"/>
      <c r="AA55" s="28"/>
      <c r="AB55" s="28"/>
    </row>
    <row r="56" spans="1:29" ht="12.75" x14ac:dyDescent="0.2">
      <c r="A56" s="2"/>
      <c r="B56" s="2"/>
      <c r="C56" s="35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9" ht="12.75" x14ac:dyDescent="0.2">
      <c r="A57" s="2"/>
      <c r="B57" s="2"/>
      <c r="C57" s="3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9" ht="12.75" x14ac:dyDescent="0.2">
      <c r="A58" s="2"/>
      <c r="B58" s="2"/>
      <c r="C58" s="3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9" ht="12.75" x14ac:dyDescent="0.2">
      <c r="A59" s="2"/>
      <c r="B59" s="2"/>
      <c r="C59" s="3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9" ht="12.75" x14ac:dyDescent="0.2">
      <c r="A60" s="2"/>
      <c r="B60" s="2"/>
      <c r="C60" s="35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9" ht="12.75" x14ac:dyDescent="0.2">
      <c r="A61" s="2"/>
      <c r="B61" s="2"/>
      <c r="C61" s="35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9" ht="12.75" x14ac:dyDescent="0.2">
      <c r="A62" s="2"/>
      <c r="B62" s="2"/>
      <c r="C62" s="35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9" ht="12.75" x14ac:dyDescent="0.2">
      <c r="A63" s="2"/>
      <c r="B63" s="2"/>
      <c r="C63" s="35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9" ht="12.75" x14ac:dyDescent="0.2">
      <c r="A64" s="2"/>
      <c r="B64" s="2"/>
      <c r="C64" s="35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2.75" x14ac:dyDescent="0.2">
      <c r="A65" s="2"/>
      <c r="B65" s="2"/>
      <c r="C65" s="35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2.75" x14ac:dyDescent="0.2">
      <c r="A66" s="2"/>
      <c r="B66" s="2"/>
      <c r="C66" s="35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2.75" x14ac:dyDescent="0.2">
      <c r="A67" s="2"/>
      <c r="B67" s="2"/>
      <c r="C67" s="35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2.75" x14ac:dyDescent="0.2">
      <c r="A68" s="2"/>
      <c r="B68" s="2"/>
      <c r="C68" s="35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2.75" x14ac:dyDescent="0.2">
      <c r="A69" s="2"/>
      <c r="B69" s="2"/>
      <c r="C69" s="35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2.75" x14ac:dyDescent="0.2">
      <c r="A70" s="2"/>
      <c r="B70" s="2"/>
      <c r="C70" s="35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2.75" x14ac:dyDescent="0.2">
      <c r="A71" s="2"/>
      <c r="B71" s="2"/>
      <c r="C71" s="35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2.75" x14ac:dyDescent="0.2">
      <c r="A72" s="2"/>
      <c r="B72" s="2"/>
      <c r="C72" s="35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2.75" x14ac:dyDescent="0.2">
      <c r="A73" s="2"/>
      <c r="B73" s="2"/>
      <c r="C73" s="3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2.75" x14ac:dyDescent="0.2">
      <c r="A74" s="2"/>
      <c r="B74" s="2"/>
      <c r="C74" s="35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2.75" x14ac:dyDescent="0.2">
      <c r="A75" s="2"/>
      <c r="B75" s="2"/>
      <c r="C75" s="35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2.75" x14ac:dyDescent="0.2">
      <c r="A76" s="2"/>
      <c r="B76" s="2"/>
      <c r="C76" s="35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2.75" x14ac:dyDescent="0.2">
      <c r="A77" s="2"/>
      <c r="B77" s="2"/>
      <c r="C77" s="35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2.75" x14ac:dyDescent="0.2">
      <c r="A78" s="2"/>
      <c r="B78" s="2"/>
      <c r="C78" s="35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2.75" x14ac:dyDescent="0.2">
      <c r="A79" s="2"/>
      <c r="B79" s="2"/>
      <c r="C79" s="35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2.75" x14ac:dyDescent="0.2">
      <c r="A80" s="2"/>
      <c r="B80" s="2"/>
      <c r="C80" s="35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2.75" x14ac:dyDescent="0.2">
      <c r="A81" s="2"/>
      <c r="B81" s="2"/>
      <c r="C81" s="35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2.75" x14ac:dyDescent="0.2">
      <c r="A82" s="2"/>
      <c r="B82" s="2"/>
      <c r="C82" s="35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2.75" x14ac:dyDescent="0.2">
      <c r="A83" s="2"/>
      <c r="B83" s="2"/>
      <c r="C83" s="35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2.75" x14ac:dyDescent="0.2">
      <c r="A84" s="2"/>
      <c r="B84" s="2"/>
      <c r="C84" s="35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2.75" x14ac:dyDescent="0.2">
      <c r="A85" s="2"/>
      <c r="B85" s="2"/>
      <c r="C85" s="35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2.75" x14ac:dyDescent="0.2">
      <c r="A86" s="2"/>
      <c r="B86" s="2"/>
      <c r="C86" s="35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2.75" x14ac:dyDescent="0.2">
      <c r="A87" s="2"/>
      <c r="B87" s="2"/>
      <c r="C87" s="35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2.75" x14ac:dyDescent="0.2">
      <c r="A88" s="2"/>
      <c r="B88" s="2"/>
      <c r="C88" s="35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2.75" x14ac:dyDescent="0.2">
      <c r="A89" s="2"/>
      <c r="B89" s="2"/>
      <c r="C89" s="35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2.75" x14ac:dyDescent="0.2">
      <c r="A90" s="2"/>
      <c r="B90" s="2"/>
      <c r="C90" s="35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2.75" x14ac:dyDescent="0.2">
      <c r="A91" s="2"/>
      <c r="B91" s="2"/>
      <c r="C91" s="35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2.75" x14ac:dyDescent="0.2">
      <c r="A92" s="2"/>
      <c r="B92" s="2"/>
      <c r="C92" s="35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2.75" x14ac:dyDescent="0.2">
      <c r="A93" s="2"/>
      <c r="B93" s="2"/>
      <c r="C93" s="35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2.75" x14ac:dyDescent="0.2">
      <c r="A94" s="2"/>
      <c r="B94" s="2"/>
      <c r="C94" s="35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2.75" x14ac:dyDescent="0.2">
      <c r="A95" s="2"/>
      <c r="B95" s="2"/>
      <c r="C95" s="35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2.75" x14ac:dyDescent="0.2">
      <c r="A96" s="2"/>
      <c r="B96" s="2"/>
      <c r="C96" s="35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2.75" x14ac:dyDescent="0.2">
      <c r="A97" s="2"/>
      <c r="B97" s="2"/>
      <c r="C97" s="35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2.75" x14ac:dyDescent="0.2">
      <c r="A98" s="2"/>
      <c r="B98" s="2"/>
      <c r="C98" s="35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2.75" x14ac:dyDescent="0.2">
      <c r="A99" s="2"/>
      <c r="B99" s="2"/>
      <c r="C99" s="35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2.75" x14ac:dyDescent="0.2">
      <c r="A100" s="2"/>
      <c r="B100" s="2"/>
      <c r="C100" s="35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2.75" x14ac:dyDescent="0.2">
      <c r="A101" s="2"/>
      <c r="B101" s="2"/>
      <c r="C101" s="35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2.75" x14ac:dyDescent="0.2">
      <c r="A102" s="2"/>
      <c r="B102" s="2"/>
      <c r="C102" s="35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2.75" x14ac:dyDescent="0.2">
      <c r="A103" s="2"/>
      <c r="B103" s="2"/>
      <c r="C103" s="35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2.75" x14ac:dyDescent="0.2">
      <c r="A104" s="2"/>
      <c r="B104" s="2"/>
      <c r="C104" s="35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2.75" x14ac:dyDescent="0.2">
      <c r="A105" s="2"/>
      <c r="B105" s="2"/>
      <c r="C105" s="35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2.75" x14ac:dyDescent="0.2">
      <c r="A106" s="2"/>
      <c r="B106" s="2"/>
      <c r="C106" s="35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2.75" x14ac:dyDescent="0.2">
      <c r="A107" s="2"/>
      <c r="B107" s="2"/>
      <c r="C107" s="35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2.75" x14ac:dyDescent="0.2">
      <c r="A108" s="2"/>
      <c r="B108" s="2"/>
      <c r="C108" s="35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2.75" x14ac:dyDescent="0.2">
      <c r="A109" s="2"/>
      <c r="B109" s="2"/>
      <c r="C109" s="35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2.75" x14ac:dyDescent="0.2">
      <c r="A110" s="2"/>
      <c r="B110" s="2"/>
      <c r="C110" s="35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2.75" x14ac:dyDescent="0.2">
      <c r="A111" s="2"/>
      <c r="B111" s="2"/>
      <c r="C111" s="35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2.75" x14ac:dyDescent="0.2">
      <c r="A112" s="2"/>
      <c r="B112" s="2"/>
      <c r="C112" s="35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2.75" x14ac:dyDescent="0.2">
      <c r="A113" s="2"/>
      <c r="B113" s="2"/>
      <c r="C113" s="35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2.75" x14ac:dyDescent="0.2">
      <c r="A114" s="2"/>
      <c r="B114" s="2"/>
      <c r="C114" s="35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2.75" x14ac:dyDescent="0.2">
      <c r="A115" s="2"/>
      <c r="B115" s="2"/>
      <c r="C115" s="35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2.75" x14ac:dyDescent="0.2">
      <c r="A116" s="2"/>
      <c r="B116" s="2"/>
      <c r="C116" s="35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2.75" x14ac:dyDescent="0.2">
      <c r="A117" s="2"/>
      <c r="B117" s="2"/>
      <c r="C117" s="35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2.75" x14ac:dyDescent="0.2">
      <c r="A118" s="2"/>
      <c r="B118" s="2"/>
      <c r="C118" s="35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2.75" x14ac:dyDescent="0.2">
      <c r="A119" s="2"/>
      <c r="B119" s="2"/>
      <c r="C119" s="35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2.75" x14ac:dyDescent="0.2">
      <c r="A120" s="2"/>
      <c r="B120" s="2"/>
      <c r="C120" s="35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2.75" x14ac:dyDescent="0.2">
      <c r="A121" s="2"/>
      <c r="B121" s="2"/>
      <c r="C121" s="35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2.75" x14ac:dyDescent="0.2">
      <c r="A122" s="2"/>
      <c r="B122" s="2"/>
      <c r="C122" s="35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2.75" x14ac:dyDescent="0.2">
      <c r="A123" s="2"/>
      <c r="B123" s="2"/>
      <c r="C123" s="35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2.75" x14ac:dyDescent="0.2">
      <c r="A124" s="2"/>
      <c r="B124" s="2"/>
      <c r="C124" s="35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2.75" x14ac:dyDescent="0.2">
      <c r="A125" s="2"/>
      <c r="B125" s="2"/>
      <c r="C125" s="35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2.75" x14ac:dyDescent="0.2">
      <c r="A126" s="2"/>
      <c r="B126" s="2"/>
      <c r="C126" s="35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2.75" x14ac:dyDescent="0.2">
      <c r="A127" s="2"/>
      <c r="B127" s="2"/>
      <c r="C127" s="35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2.75" x14ac:dyDescent="0.2">
      <c r="A128" s="2"/>
      <c r="B128" s="2"/>
      <c r="C128" s="35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2.75" x14ac:dyDescent="0.2">
      <c r="A129" s="2"/>
      <c r="B129" s="2"/>
      <c r="C129" s="35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2.75" x14ac:dyDescent="0.2">
      <c r="A130" s="2"/>
      <c r="B130" s="2"/>
      <c r="C130" s="35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2.75" x14ac:dyDescent="0.2">
      <c r="A131" s="2"/>
      <c r="B131" s="2"/>
      <c r="C131" s="35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2.75" x14ac:dyDescent="0.2">
      <c r="A132" s="2"/>
      <c r="B132" s="2"/>
      <c r="C132" s="35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2.75" x14ac:dyDescent="0.2">
      <c r="A133" s="2"/>
      <c r="B133" s="2"/>
      <c r="C133" s="35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2.75" x14ac:dyDescent="0.2">
      <c r="A134" s="2"/>
      <c r="B134" s="2"/>
      <c r="C134" s="35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2.75" x14ac:dyDescent="0.2">
      <c r="A135" s="2"/>
      <c r="B135" s="2"/>
      <c r="C135" s="35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2.75" x14ac:dyDescent="0.2">
      <c r="A136" s="2"/>
      <c r="B136" s="2"/>
      <c r="C136" s="35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2.75" x14ac:dyDescent="0.2">
      <c r="A137" s="2"/>
      <c r="B137" s="2"/>
      <c r="C137" s="35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2.75" x14ac:dyDescent="0.2">
      <c r="A138" s="2"/>
      <c r="B138" s="2"/>
      <c r="C138" s="35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2.75" x14ac:dyDescent="0.2">
      <c r="A139" s="2"/>
      <c r="B139" s="2"/>
      <c r="C139" s="35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2.75" x14ac:dyDescent="0.2">
      <c r="A140" s="2"/>
      <c r="B140" s="2"/>
      <c r="C140" s="35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2.75" x14ac:dyDescent="0.2">
      <c r="A141" s="2"/>
      <c r="B141" s="2"/>
      <c r="C141" s="35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2.75" x14ac:dyDescent="0.2">
      <c r="A142" s="2"/>
      <c r="B142" s="2"/>
      <c r="C142" s="35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2.75" x14ac:dyDescent="0.2">
      <c r="A143" s="2"/>
      <c r="B143" s="2"/>
      <c r="C143" s="35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2.75" x14ac:dyDescent="0.2">
      <c r="A144" s="2"/>
      <c r="B144" s="2"/>
      <c r="C144" s="35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2.75" x14ac:dyDescent="0.2">
      <c r="A145" s="2"/>
      <c r="B145" s="2"/>
      <c r="C145" s="35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2.75" x14ac:dyDescent="0.2">
      <c r="A146" s="2"/>
      <c r="B146" s="2"/>
      <c r="C146" s="35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2.75" x14ac:dyDescent="0.2">
      <c r="A147" s="2"/>
      <c r="B147" s="2"/>
      <c r="C147" s="35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2.75" x14ac:dyDescent="0.2">
      <c r="A148" s="2"/>
      <c r="B148" s="2"/>
      <c r="C148" s="35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2.75" x14ac:dyDescent="0.2">
      <c r="A149" s="2"/>
      <c r="B149" s="2"/>
      <c r="C149" s="35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2.75" x14ac:dyDescent="0.2">
      <c r="A150" s="2"/>
      <c r="B150" s="2"/>
      <c r="C150" s="35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2.75" x14ac:dyDescent="0.2">
      <c r="A151" s="2"/>
      <c r="B151" s="2"/>
      <c r="C151" s="35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2.75" x14ac:dyDescent="0.2">
      <c r="A152" s="2"/>
      <c r="B152" s="2"/>
      <c r="C152" s="35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2.75" x14ac:dyDescent="0.2">
      <c r="A153" s="2"/>
      <c r="B153" s="2"/>
      <c r="C153" s="35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2.75" x14ac:dyDescent="0.2">
      <c r="A154" s="2"/>
      <c r="B154" s="2"/>
      <c r="C154" s="35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2.75" x14ac:dyDescent="0.2">
      <c r="A155" s="2"/>
      <c r="B155" s="2"/>
      <c r="C155" s="35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2.75" x14ac:dyDescent="0.2">
      <c r="A156" s="2"/>
      <c r="B156" s="2"/>
      <c r="C156" s="35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2.75" x14ac:dyDescent="0.2">
      <c r="A157" s="2"/>
      <c r="B157" s="2"/>
      <c r="C157" s="35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2.75" x14ac:dyDescent="0.2">
      <c r="A158" s="2"/>
      <c r="B158" s="2"/>
      <c r="C158" s="35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2.75" x14ac:dyDescent="0.2">
      <c r="A159" s="2"/>
      <c r="B159" s="2"/>
      <c r="C159" s="35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2.75" x14ac:dyDescent="0.2">
      <c r="A160" s="2"/>
      <c r="B160" s="2"/>
      <c r="C160" s="35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2.75" x14ac:dyDescent="0.2">
      <c r="A161" s="2"/>
      <c r="B161" s="2"/>
      <c r="C161" s="35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2.75" x14ac:dyDescent="0.2">
      <c r="A162" s="2"/>
      <c r="B162" s="2"/>
      <c r="C162" s="35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2.75" x14ac:dyDescent="0.2">
      <c r="A163" s="2"/>
      <c r="B163" s="2"/>
      <c r="C163" s="35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2.75" x14ac:dyDescent="0.2">
      <c r="A164" s="2"/>
      <c r="B164" s="2"/>
      <c r="C164" s="35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2.75" x14ac:dyDescent="0.2">
      <c r="A165" s="2"/>
      <c r="B165" s="2"/>
      <c r="C165" s="35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2.75" x14ac:dyDescent="0.2">
      <c r="A166" s="2"/>
      <c r="B166" s="2"/>
      <c r="C166" s="35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2.75" x14ac:dyDescent="0.2">
      <c r="A167" s="2"/>
      <c r="B167" s="2"/>
      <c r="C167" s="35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2.75" x14ac:dyDescent="0.2">
      <c r="A168" s="2"/>
      <c r="B168" s="2"/>
      <c r="C168" s="35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2.75" x14ac:dyDescent="0.2">
      <c r="A169" s="2"/>
      <c r="B169" s="2"/>
      <c r="C169" s="35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2.75" x14ac:dyDescent="0.2">
      <c r="A170" s="2"/>
      <c r="B170" s="2"/>
      <c r="C170" s="35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2.75" x14ac:dyDescent="0.2">
      <c r="A171" s="2"/>
      <c r="B171" s="2"/>
      <c r="C171" s="35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2.75" x14ac:dyDescent="0.2">
      <c r="A172" s="2"/>
      <c r="B172" s="2"/>
      <c r="C172" s="35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2.75" x14ac:dyDescent="0.2">
      <c r="A173" s="2"/>
      <c r="B173" s="2"/>
      <c r="C173" s="35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2.75" x14ac:dyDescent="0.2">
      <c r="A174" s="2"/>
      <c r="B174" s="2"/>
      <c r="C174" s="35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2.75" x14ac:dyDescent="0.2">
      <c r="A175" s="2"/>
      <c r="B175" s="2"/>
      <c r="C175" s="35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2.75" x14ac:dyDescent="0.2">
      <c r="A176" s="2"/>
      <c r="B176" s="2"/>
      <c r="C176" s="35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2.75" x14ac:dyDescent="0.2">
      <c r="A177" s="2"/>
      <c r="B177" s="2"/>
      <c r="C177" s="35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2.75" x14ac:dyDescent="0.2">
      <c r="A178" s="2"/>
      <c r="B178" s="2"/>
      <c r="C178" s="35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2.75" x14ac:dyDescent="0.2">
      <c r="A179" s="2"/>
      <c r="B179" s="2"/>
      <c r="C179" s="35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2.75" x14ac:dyDescent="0.2">
      <c r="A180" s="2"/>
      <c r="B180" s="2"/>
      <c r="C180" s="35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2.75" x14ac:dyDescent="0.2">
      <c r="A181" s="2"/>
      <c r="B181" s="2"/>
      <c r="C181" s="35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2.75" x14ac:dyDescent="0.2">
      <c r="A182" s="2"/>
      <c r="B182" s="2"/>
      <c r="C182" s="35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2.75" x14ac:dyDescent="0.2">
      <c r="A183" s="2"/>
      <c r="B183" s="2"/>
      <c r="C183" s="35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2.75" x14ac:dyDescent="0.2">
      <c r="A184" s="2"/>
      <c r="B184" s="2"/>
      <c r="C184" s="35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2.75" x14ac:dyDescent="0.2">
      <c r="A185" s="2"/>
      <c r="B185" s="2"/>
      <c r="C185" s="35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2.75" x14ac:dyDescent="0.2">
      <c r="A186" s="2"/>
      <c r="B186" s="2"/>
      <c r="C186" s="35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2.75" x14ac:dyDescent="0.2">
      <c r="A187" s="2"/>
      <c r="B187" s="2"/>
      <c r="C187" s="35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2.75" x14ac:dyDescent="0.2">
      <c r="A188" s="2"/>
      <c r="B188" s="2"/>
      <c r="C188" s="35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2.75" x14ac:dyDescent="0.2">
      <c r="A189" s="2"/>
      <c r="B189" s="2"/>
      <c r="C189" s="35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2.75" x14ac:dyDescent="0.2">
      <c r="A190" s="2"/>
      <c r="B190" s="2"/>
      <c r="C190" s="35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2.75" x14ac:dyDescent="0.2">
      <c r="A191" s="2"/>
      <c r="B191" s="2"/>
      <c r="C191" s="35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2.75" x14ac:dyDescent="0.2">
      <c r="A192" s="2"/>
      <c r="B192" s="2"/>
      <c r="C192" s="35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2.75" x14ac:dyDescent="0.2">
      <c r="A193" s="2"/>
      <c r="B193" s="2"/>
      <c r="C193" s="35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2.75" x14ac:dyDescent="0.2">
      <c r="A194" s="2"/>
      <c r="B194" s="2"/>
      <c r="C194" s="35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2.75" x14ac:dyDescent="0.2">
      <c r="A195" s="2"/>
      <c r="B195" s="2"/>
      <c r="C195" s="35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2.75" x14ac:dyDescent="0.2">
      <c r="A196" s="2"/>
      <c r="B196" s="2"/>
      <c r="C196" s="35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2.75" x14ac:dyDescent="0.2">
      <c r="A197" s="2"/>
      <c r="B197" s="2"/>
      <c r="C197" s="35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2.75" x14ac:dyDescent="0.2">
      <c r="A198" s="2"/>
      <c r="B198" s="2"/>
      <c r="C198" s="35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2.75" x14ac:dyDescent="0.2">
      <c r="A199" s="2"/>
      <c r="B199" s="2"/>
      <c r="C199" s="35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2.75" x14ac:dyDescent="0.2">
      <c r="A200" s="2"/>
      <c r="B200" s="2"/>
      <c r="C200" s="35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2.75" x14ac:dyDescent="0.2">
      <c r="A201" s="2"/>
      <c r="B201" s="2"/>
      <c r="C201" s="35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2.75" x14ac:dyDescent="0.2">
      <c r="A202" s="2"/>
      <c r="B202" s="2"/>
      <c r="C202" s="35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2.75" x14ac:dyDescent="0.2">
      <c r="A203" s="2"/>
      <c r="B203" s="2"/>
      <c r="C203" s="35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2.75" x14ac:dyDescent="0.2">
      <c r="A204" s="2"/>
      <c r="B204" s="2"/>
      <c r="C204" s="35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2.75" x14ac:dyDescent="0.2">
      <c r="A205" s="2"/>
      <c r="B205" s="2"/>
      <c r="C205" s="35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2.75" x14ac:dyDescent="0.2">
      <c r="A206" s="2"/>
      <c r="B206" s="2"/>
      <c r="C206" s="35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2.75" x14ac:dyDescent="0.2">
      <c r="A207" s="2"/>
      <c r="B207" s="2"/>
      <c r="C207" s="35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2.75" x14ac:dyDescent="0.2">
      <c r="A208" s="2"/>
      <c r="B208" s="2"/>
      <c r="C208" s="35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2.75" x14ac:dyDescent="0.2">
      <c r="A209" s="2"/>
      <c r="B209" s="2"/>
      <c r="C209" s="35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2.75" x14ac:dyDescent="0.2">
      <c r="A210" s="2"/>
      <c r="B210" s="2"/>
      <c r="C210" s="35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2.75" x14ac:dyDescent="0.2">
      <c r="A211" s="2"/>
      <c r="B211" s="2"/>
      <c r="C211" s="35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2.75" x14ac:dyDescent="0.2">
      <c r="A212" s="2"/>
      <c r="B212" s="2"/>
      <c r="C212" s="35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2.75" x14ac:dyDescent="0.2">
      <c r="A213" s="2"/>
      <c r="B213" s="2"/>
      <c r="C213" s="35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2.75" x14ac:dyDescent="0.2">
      <c r="A214" s="2"/>
      <c r="B214" s="2"/>
      <c r="C214" s="35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2.75" x14ac:dyDescent="0.2">
      <c r="A215" s="2"/>
      <c r="B215" s="2"/>
      <c r="C215" s="35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2.75" x14ac:dyDescent="0.2">
      <c r="A216" s="2"/>
      <c r="B216" s="2"/>
      <c r="C216" s="35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2.75" x14ac:dyDescent="0.2">
      <c r="A217" s="2"/>
      <c r="B217" s="2"/>
      <c r="C217" s="35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2.75" x14ac:dyDescent="0.2">
      <c r="A218" s="2"/>
      <c r="B218" s="2"/>
      <c r="C218" s="35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2.75" x14ac:dyDescent="0.2">
      <c r="A219" s="2"/>
      <c r="B219" s="2"/>
      <c r="C219" s="35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2.75" x14ac:dyDescent="0.2">
      <c r="A220" s="2"/>
      <c r="B220" s="2"/>
      <c r="C220" s="35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2.75" x14ac:dyDescent="0.2">
      <c r="A221" s="2"/>
      <c r="B221" s="2"/>
      <c r="C221" s="35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2.75" x14ac:dyDescent="0.2">
      <c r="A222" s="2"/>
      <c r="B222" s="2"/>
      <c r="C222" s="35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2.75" x14ac:dyDescent="0.2">
      <c r="A223" s="2"/>
      <c r="B223" s="2"/>
      <c r="C223" s="35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2.75" x14ac:dyDescent="0.2">
      <c r="A224" s="2"/>
      <c r="B224" s="2"/>
      <c r="C224" s="35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2.75" x14ac:dyDescent="0.2">
      <c r="A225" s="2"/>
      <c r="B225" s="2"/>
      <c r="C225" s="35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2.75" x14ac:dyDescent="0.2">
      <c r="A226" s="2"/>
      <c r="B226" s="2"/>
      <c r="C226" s="35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2.75" x14ac:dyDescent="0.2">
      <c r="A227" s="2"/>
      <c r="B227" s="2"/>
      <c r="C227" s="35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2.75" x14ac:dyDescent="0.2">
      <c r="A228" s="2"/>
      <c r="B228" s="2"/>
      <c r="C228" s="35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2.75" x14ac:dyDescent="0.2">
      <c r="A229" s="2"/>
      <c r="B229" s="2"/>
      <c r="C229" s="35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2.75" x14ac:dyDescent="0.2">
      <c r="A230" s="2"/>
      <c r="B230" s="2"/>
      <c r="C230" s="35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2.75" x14ac:dyDescent="0.2">
      <c r="A231" s="2"/>
      <c r="B231" s="2"/>
      <c r="C231" s="35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2.75" x14ac:dyDescent="0.2">
      <c r="A232" s="2"/>
      <c r="B232" s="2"/>
      <c r="C232" s="35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2.75" x14ac:dyDescent="0.2">
      <c r="A233" s="2"/>
      <c r="B233" s="2"/>
      <c r="C233" s="35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2.75" x14ac:dyDescent="0.2">
      <c r="A234" s="2"/>
      <c r="B234" s="2"/>
      <c r="C234" s="35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2.75" x14ac:dyDescent="0.2">
      <c r="A235" s="2"/>
      <c r="B235" s="2"/>
      <c r="C235" s="35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2.75" x14ac:dyDescent="0.2">
      <c r="A236" s="2"/>
      <c r="B236" s="2"/>
      <c r="C236" s="35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2.75" x14ac:dyDescent="0.2">
      <c r="A237" s="2"/>
      <c r="B237" s="2"/>
      <c r="C237" s="35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2.75" x14ac:dyDescent="0.2">
      <c r="A238" s="2"/>
      <c r="B238" s="2"/>
      <c r="C238" s="35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2.75" x14ac:dyDescent="0.2">
      <c r="A239" s="2"/>
      <c r="B239" s="2"/>
      <c r="C239" s="35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2.75" x14ac:dyDescent="0.2">
      <c r="A240" s="2"/>
      <c r="B240" s="2"/>
      <c r="C240" s="35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2.75" x14ac:dyDescent="0.2">
      <c r="A241" s="2"/>
      <c r="B241" s="2"/>
      <c r="C241" s="35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2.75" x14ac:dyDescent="0.2">
      <c r="A242" s="2"/>
      <c r="B242" s="2"/>
      <c r="C242" s="35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2.75" x14ac:dyDescent="0.2">
      <c r="A243" s="2"/>
      <c r="B243" s="2"/>
      <c r="C243" s="35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2.75" x14ac:dyDescent="0.2">
      <c r="A244" s="2"/>
      <c r="B244" s="2"/>
      <c r="C244" s="35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2.75" x14ac:dyDescent="0.2">
      <c r="A245" s="2"/>
      <c r="B245" s="2"/>
      <c r="C245" s="35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2.75" x14ac:dyDescent="0.2">
      <c r="A246" s="2"/>
      <c r="B246" s="2"/>
      <c r="C246" s="35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2.75" x14ac:dyDescent="0.2">
      <c r="A247" s="2"/>
      <c r="B247" s="2"/>
      <c r="C247" s="35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2.75" x14ac:dyDescent="0.2">
      <c r="A248" s="2"/>
      <c r="B248" s="2"/>
      <c r="C248" s="35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2.75" x14ac:dyDescent="0.2">
      <c r="A249" s="2"/>
      <c r="B249" s="2"/>
      <c r="C249" s="35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2.75" x14ac:dyDescent="0.2">
      <c r="A250" s="2"/>
      <c r="B250" s="2"/>
      <c r="C250" s="35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2.75" x14ac:dyDescent="0.2">
      <c r="A251" s="2"/>
      <c r="B251" s="2"/>
      <c r="C251" s="35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2.75" x14ac:dyDescent="0.2">
      <c r="A252" s="2"/>
      <c r="B252" s="2"/>
      <c r="C252" s="35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2.75" x14ac:dyDescent="0.2">
      <c r="A253" s="2"/>
      <c r="B253" s="2"/>
      <c r="C253" s="35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2.75" x14ac:dyDescent="0.2">
      <c r="A254" s="2"/>
      <c r="B254" s="2"/>
      <c r="C254" s="35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2.75" x14ac:dyDescent="0.2">
      <c r="A255" s="2"/>
      <c r="B255" s="2"/>
      <c r="C255" s="35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2.75" x14ac:dyDescent="0.2">
      <c r="A256" s="2"/>
      <c r="B256" s="2"/>
      <c r="C256" s="35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2.75" x14ac:dyDescent="0.2">
      <c r="A257" s="2"/>
      <c r="B257" s="2"/>
      <c r="C257" s="35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2.75" x14ac:dyDescent="0.2">
      <c r="A258" s="2"/>
      <c r="B258" s="2"/>
      <c r="C258" s="35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2.75" x14ac:dyDescent="0.2">
      <c r="A259" s="2"/>
      <c r="B259" s="2"/>
      <c r="C259" s="35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2.75" x14ac:dyDescent="0.2">
      <c r="A260" s="2"/>
      <c r="B260" s="2"/>
      <c r="C260" s="35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2.75" x14ac:dyDescent="0.2">
      <c r="A261" s="2"/>
      <c r="B261" s="2"/>
      <c r="C261" s="35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2.75" x14ac:dyDescent="0.2">
      <c r="A262" s="2"/>
      <c r="B262" s="2"/>
      <c r="C262" s="35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2.75" x14ac:dyDescent="0.2">
      <c r="A263" s="2"/>
      <c r="B263" s="2"/>
      <c r="C263" s="35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2.75" x14ac:dyDescent="0.2">
      <c r="A264" s="2"/>
      <c r="B264" s="2"/>
      <c r="C264" s="35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2.75" x14ac:dyDescent="0.2">
      <c r="A265" s="2"/>
      <c r="B265" s="2"/>
      <c r="C265" s="35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2.75" x14ac:dyDescent="0.2">
      <c r="A266" s="2"/>
      <c r="B266" s="2"/>
      <c r="C266" s="35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2.75" x14ac:dyDescent="0.2">
      <c r="A267" s="2"/>
      <c r="B267" s="2"/>
      <c r="C267" s="35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2.75" x14ac:dyDescent="0.2">
      <c r="A268" s="2"/>
      <c r="B268" s="2"/>
      <c r="C268" s="35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2.75" x14ac:dyDescent="0.2">
      <c r="A269" s="2"/>
      <c r="B269" s="2"/>
      <c r="C269" s="35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2.75" x14ac:dyDescent="0.2">
      <c r="A270" s="2"/>
      <c r="B270" s="2"/>
      <c r="C270" s="35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2.75" x14ac:dyDescent="0.2">
      <c r="A271" s="2"/>
      <c r="B271" s="2"/>
      <c r="C271" s="35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2.75" x14ac:dyDescent="0.2">
      <c r="A272" s="2"/>
      <c r="B272" s="2"/>
      <c r="C272" s="35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2.75" x14ac:dyDescent="0.2">
      <c r="A273" s="2"/>
      <c r="B273" s="2"/>
      <c r="C273" s="35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2.75" x14ac:dyDescent="0.2">
      <c r="A274" s="2"/>
      <c r="B274" s="2"/>
      <c r="C274" s="35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2.75" x14ac:dyDescent="0.2">
      <c r="A275" s="2"/>
      <c r="B275" s="2"/>
      <c r="C275" s="35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2.75" x14ac:dyDescent="0.2">
      <c r="A276" s="2"/>
      <c r="B276" s="2"/>
      <c r="C276" s="35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2.75" x14ac:dyDescent="0.2">
      <c r="A277" s="2"/>
      <c r="B277" s="2"/>
      <c r="C277" s="35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2.75" x14ac:dyDescent="0.2">
      <c r="A278" s="2"/>
      <c r="B278" s="2"/>
      <c r="C278" s="35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2.75" x14ac:dyDescent="0.2">
      <c r="A279" s="2"/>
      <c r="B279" s="2"/>
      <c r="C279" s="35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2.75" x14ac:dyDescent="0.2">
      <c r="A280" s="2"/>
      <c r="B280" s="2"/>
      <c r="C280" s="35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2.75" x14ac:dyDescent="0.2">
      <c r="A281" s="2"/>
      <c r="B281" s="2"/>
      <c r="C281" s="35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2.75" x14ac:dyDescent="0.2">
      <c r="A282" s="2"/>
      <c r="B282" s="2"/>
      <c r="C282" s="35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2.75" x14ac:dyDescent="0.2">
      <c r="A283" s="2"/>
      <c r="B283" s="2"/>
      <c r="C283" s="35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2.75" x14ac:dyDescent="0.2">
      <c r="A284" s="2"/>
      <c r="B284" s="2"/>
      <c r="C284" s="35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2.75" x14ac:dyDescent="0.2">
      <c r="A285" s="2"/>
      <c r="B285" s="2"/>
      <c r="C285" s="35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2.75" x14ac:dyDescent="0.2">
      <c r="A286" s="2"/>
      <c r="B286" s="2"/>
      <c r="C286" s="35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2.75" x14ac:dyDescent="0.2">
      <c r="A287" s="2"/>
      <c r="B287" s="2"/>
      <c r="C287" s="35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2.75" x14ac:dyDescent="0.2">
      <c r="A288" s="2"/>
      <c r="B288" s="2"/>
      <c r="C288" s="35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2.75" x14ac:dyDescent="0.2">
      <c r="A289" s="2"/>
      <c r="B289" s="2"/>
      <c r="C289" s="35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2.75" x14ac:dyDescent="0.2">
      <c r="A290" s="2"/>
      <c r="B290" s="2"/>
      <c r="C290" s="35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2.75" x14ac:dyDescent="0.2">
      <c r="A291" s="2"/>
      <c r="B291" s="2"/>
      <c r="C291" s="35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2.75" x14ac:dyDescent="0.2">
      <c r="A292" s="2"/>
      <c r="B292" s="2"/>
      <c r="C292" s="35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2.75" x14ac:dyDescent="0.2">
      <c r="A293" s="2"/>
      <c r="B293" s="2"/>
      <c r="C293" s="35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2.75" x14ac:dyDescent="0.2">
      <c r="A294" s="2"/>
      <c r="B294" s="2"/>
      <c r="C294" s="35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2.75" x14ac:dyDescent="0.2">
      <c r="A295" s="2"/>
      <c r="B295" s="2"/>
      <c r="C295" s="35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2.75" x14ac:dyDescent="0.2">
      <c r="A296" s="2"/>
      <c r="B296" s="2"/>
      <c r="C296" s="35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2.75" x14ac:dyDescent="0.2">
      <c r="A297" s="2"/>
      <c r="B297" s="2"/>
      <c r="C297" s="35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2.75" x14ac:dyDescent="0.2">
      <c r="A298" s="2"/>
      <c r="B298" s="2"/>
      <c r="C298" s="35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2.75" x14ac:dyDescent="0.2">
      <c r="A299" s="2"/>
      <c r="B299" s="2"/>
      <c r="C299" s="35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2.75" x14ac:dyDescent="0.2">
      <c r="A300" s="2"/>
      <c r="B300" s="2"/>
      <c r="C300" s="35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2.75" x14ac:dyDescent="0.2">
      <c r="A301" s="2"/>
      <c r="B301" s="2"/>
      <c r="C301" s="35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2.75" x14ac:dyDescent="0.2">
      <c r="A302" s="2"/>
      <c r="B302" s="2"/>
      <c r="C302" s="35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2.75" x14ac:dyDescent="0.2">
      <c r="A303" s="2"/>
      <c r="B303" s="2"/>
      <c r="C303" s="35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2.75" x14ac:dyDescent="0.2">
      <c r="A304" s="2"/>
      <c r="B304" s="2"/>
      <c r="C304" s="35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2.75" x14ac:dyDescent="0.2">
      <c r="A305" s="2"/>
      <c r="B305" s="2"/>
      <c r="C305" s="35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2.75" x14ac:dyDescent="0.2">
      <c r="A306" s="2"/>
      <c r="B306" s="2"/>
      <c r="C306" s="35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2.75" x14ac:dyDescent="0.2">
      <c r="A307" s="2"/>
      <c r="B307" s="2"/>
      <c r="C307" s="35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2.75" x14ac:dyDescent="0.2">
      <c r="A308" s="2"/>
      <c r="B308" s="2"/>
      <c r="C308" s="35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2.75" x14ac:dyDescent="0.2">
      <c r="A309" s="2"/>
      <c r="B309" s="2"/>
      <c r="C309" s="35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2.75" x14ac:dyDescent="0.2">
      <c r="A310" s="2"/>
      <c r="B310" s="2"/>
      <c r="C310" s="35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2.75" x14ac:dyDescent="0.2">
      <c r="A311" s="2"/>
      <c r="B311" s="2"/>
      <c r="C311" s="35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2.75" x14ac:dyDescent="0.2">
      <c r="A312" s="2"/>
      <c r="B312" s="2"/>
      <c r="C312" s="35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2.75" x14ac:dyDescent="0.2">
      <c r="A313" s="2"/>
      <c r="B313" s="2"/>
      <c r="C313" s="35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2.75" x14ac:dyDescent="0.2">
      <c r="A314" s="2"/>
      <c r="B314" s="2"/>
      <c r="C314" s="35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2.75" x14ac:dyDescent="0.2">
      <c r="A315" s="2"/>
      <c r="B315" s="2"/>
      <c r="C315" s="35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2.75" x14ac:dyDescent="0.2">
      <c r="A316" s="2"/>
      <c r="B316" s="2"/>
      <c r="C316" s="35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2.75" x14ac:dyDescent="0.2">
      <c r="A317" s="2"/>
      <c r="B317" s="2"/>
      <c r="C317" s="35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2.75" x14ac:dyDescent="0.2">
      <c r="A318" s="2"/>
      <c r="B318" s="2"/>
      <c r="C318" s="35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2.75" x14ac:dyDescent="0.2">
      <c r="A319" s="2"/>
      <c r="B319" s="2"/>
      <c r="C319" s="35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2.75" x14ac:dyDescent="0.2">
      <c r="A320" s="2"/>
      <c r="B320" s="2"/>
      <c r="C320" s="35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2.75" x14ac:dyDescent="0.2">
      <c r="A321" s="2"/>
      <c r="B321" s="2"/>
      <c r="C321" s="35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2.75" x14ac:dyDescent="0.2">
      <c r="A322" s="2"/>
      <c r="B322" s="2"/>
      <c r="C322" s="35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2.75" x14ac:dyDescent="0.2">
      <c r="A323" s="2"/>
      <c r="B323" s="2"/>
      <c r="C323" s="35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2.75" x14ac:dyDescent="0.2">
      <c r="A324" s="2"/>
      <c r="B324" s="2"/>
      <c r="C324" s="35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2.75" x14ac:dyDescent="0.2">
      <c r="A325" s="2"/>
      <c r="B325" s="2"/>
      <c r="C325" s="35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2.75" x14ac:dyDescent="0.2">
      <c r="A326" s="2"/>
      <c r="B326" s="2"/>
      <c r="C326" s="35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2.75" x14ac:dyDescent="0.2">
      <c r="A327" s="2"/>
      <c r="B327" s="2"/>
      <c r="C327" s="35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2.75" x14ac:dyDescent="0.2">
      <c r="A328" s="2"/>
      <c r="B328" s="2"/>
      <c r="C328" s="35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2.75" x14ac:dyDescent="0.2">
      <c r="A329" s="2"/>
      <c r="B329" s="2"/>
      <c r="C329" s="35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2.75" x14ac:dyDescent="0.2">
      <c r="A330" s="2"/>
      <c r="B330" s="2"/>
      <c r="C330" s="35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2.75" x14ac:dyDescent="0.2">
      <c r="A331" s="2"/>
      <c r="B331" s="2"/>
      <c r="C331" s="35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2.75" x14ac:dyDescent="0.2">
      <c r="A332" s="2"/>
      <c r="B332" s="2"/>
      <c r="C332" s="35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2.75" x14ac:dyDescent="0.2">
      <c r="A333" s="2"/>
      <c r="B333" s="2"/>
      <c r="C333" s="35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2.75" x14ac:dyDescent="0.2">
      <c r="A334" s="2"/>
      <c r="B334" s="2"/>
      <c r="C334" s="35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2.75" x14ac:dyDescent="0.2">
      <c r="A335" s="2"/>
      <c r="B335" s="2"/>
      <c r="C335" s="35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2.75" x14ac:dyDescent="0.2">
      <c r="A336" s="2"/>
      <c r="B336" s="2"/>
      <c r="C336" s="35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2.75" x14ac:dyDescent="0.2">
      <c r="A337" s="2"/>
      <c r="B337" s="2"/>
      <c r="C337" s="35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2.75" x14ac:dyDescent="0.2">
      <c r="A338" s="2"/>
      <c r="B338" s="2"/>
      <c r="C338" s="35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2.75" x14ac:dyDescent="0.2">
      <c r="A339" s="2"/>
      <c r="B339" s="2"/>
      <c r="C339" s="35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2.75" x14ac:dyDescent="0.2">
      <c r="A340" s="2"/>
      <c r="B340" s="2"/>
      <c r="C340" s="35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2.75" x14ac:dyDescent="0.2">
      <c r="A341" s="2"/>
      <c r="B341" s="2"/>
      <c r="C341" s="35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2.75" x14ac:dyDescent="0.2">
      <c r="A342" s="2"/>
      <c r="B342" s="2"/>
      <c r="C342" s="35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2.75" x14ac:dyDescent="0.2">
      <c r="A343" s="2"/>
      <c r="B343" s="2"/>
      <c r="C343" s="35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2.75" x14ac:dyDescent="0.2">
      <c r="A344" s="2"/>
      <c r="B344" s="2"/>
      <c r="C344" s="35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2.75" x14ac:dyDescent="0.2">
      <c r="A345" s="2"/>
      <c r="B345" s="2"/>
      <c r="C345" s="35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2.75" x14ac:dyDescent="0.2">
      <c r="A346" s="2"/>
      <c r="B346" s="2"/>
      <c r="C346" s="35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2.75" x14ac:dyDescent="0.2">
      <c r="A347" s="2"/>
      <c r="B347" s="2"/>
      <c r="C347" s="35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2.75" x14ac:dyDescent="0.2">
      <c r="A348" s="2"/>
      <c r="B348" s="2"/>
      <c r="C348" s="35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2.75" x14ac:dyDescent="0.2">
      <c r="A349" s="2"/>
      <c r="B349" s="2"/>
      <c r="C349" s="35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2.75" x14ac:dyDescent="0.2">
      <c r="A350" s="2"/>
      <c r="B350" s="2"/>
      <c r="C350" s="35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2.75" x14ac:dyDescent="0.2">
      <c r="A351" s="2"/>
      <c r="B351" s="2"/>
      <c r="C351" s="35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2.75" x14ac:dyDescent="0.2">
      <c r="A352" s="2"/>
      <c r="B352" s="2"/>
      <c r="C352" s="35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2.75" x14ac:dyDescent="0.2">
      <c r="A353" s="2"/>
      <c r="B353" s="2"/>
      <c r="C353" s="35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2.75" x14ac:dyDescent="0.2">
      <c r="A354" s="2"/>
      <c r="B354" s="2"/>
      <c r="C354" s="35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2.75" x14ac:dyDescent="0.2">
      <c r="A355" s="2"/>
      <c r="B355" s="2"/>
      <c r="C355" s="35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2.75" x14ac:dyDescent="0.2">
      <c r="A356" s="2"/>
      <c r="B356" s="2"/>
      <c r="C356" s="35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2.75" x14ac:dyDescent="0.2">
      <c r="A357" s="2"/>
      <c r="B357" s="2"/>
      <c r="C357" s="35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2.75" x14ac:dyDescent="0.2">
      <c r="A358" s="2"/>
      <c r="B358" s="2"/>
      <c r="C358" s="35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2.75" x14ac:dyDescent="0.2">
      <c r="A359" s="2"/>
      <c r="B359" s="2"/>
      <c r="C359" s="35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2.75" x14ac:dyDescent="0.2">
      <c r="A360" s="2"/>
      <c r="B360" s="2"/>
      <c r="C360" s="35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2.75" x14ac:dyDescent="0.2">
      <c r="A361" s="2"/>
      <c r="B361" s="2"/>
      <c r="C361" s="35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2.75" x14ac:dyDescent="0.2">
      <c r="A362" s="2"/>
      <c r="B362" s="2"/>
      <c r="C362" s="35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2.75" x14ac:dyDescent="0.2">
      <c r="A363" s="2"/>
      <c r="B363" s="2"/>
      <c r="C363" s="35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2.75" x14ac:dyDescent="0.2">
      <c r="A364" s="2"/>
      <c r="B364" s="2"/>
      <c r="C364" s="35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2.75" x14ac:dyDescent="0.2">
      <c r="A365" s="2"/>
      <c r="B365" s="2"/>
      <c r="C365" s="35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2.75" x14ac:dyDescent="0.2">
      <c r="A366" s="2"/>
      <c r="B366" s="2"/>
      <c r="C366" s="35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2.75" x14ac:dyDescent="0.2">
      <c r="A367" s="2"/>
      <c r="B367" s="2"/>
      <c r="C367" s="35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2.75" x14ac:dyDescent="0.2">
      <c r="A368" s="2"/>
      <c r="B368" s="2"/>
      <c r="C368" s="35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2.75" x14ac:dyDescent="0.2">
      <c r="A369" s="2"/>
      <c r="B369" s="2"/>
      <c r="C369" s="35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2.75" x14ac:dyDescent="0.2">
      <c r="A370" s="2"/>
      <c r="B370" s="2"/>
      <c r="C370" s="35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2.75" x14ac:dyDescent="0.2">
      <c r="A371" s="2"/>
      <c r="B371" s="2"/>
      <c r="C371" s="35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2.75" x14ac:dyDescent="0.2">
      <c r="A372" s="2"/>
      <c r="B372" s="2"/>
      <c r="C372" s="35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2.75" x14ac:dyDescent="0.2">
      <c r="A373" s="2"/>
      <c r="B373" s="2"/>
      <c r="C373" s="35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2.75" x14ac:dyDescent="0.2">
      <c r="A374" s="2"/>
      <c r="B374" s="2"/>
      <c r="C374" s="35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2.75" x14ac:dyDescent="0.2">
      <c r="A375" s="2"/>
      <c r="B375" s="2"/>
      <c r="C375" s="35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2.75" x14ac:dyDescent="0.2">
      <c r="A376" s="2"/>
      <c r="B376" s="2"/>
      <c r="C376" s="35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2.75" x14ac:dyDescent="0.2">
      <c r="A377" s="2"/>
      <c r="B377" s="2"/>
      <c r="C377" s="35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2.75" x14ac:dyDescent="0.2">
      <c r="A378" s="2"/>
      <c r="B378" s="2"/>
      <c r="C378" s="35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2.75" x14ac:dyDescent="0.2">
      <c r="A379" s="2"/>
      <c r="B379" s="2"/>
      <c r="C379" s="35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2.75" x14ac:dyDescent="0.2">
      <c r="A380" s="2"/>
      <c r="B380" s="2"/>
      <c r="C380" s="35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2.75" x14ac:dyDescent="0.2">
      <c r="A381" s="2"/>
      <c r="B381" s="2"/>
      <c r="C381" s="35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2.75" x14ac:dyDescent="0.2">
      <c r="A382" s="2"/>
      <c r="B382" s="2"/>
      <c r="C382" s="35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2.75" x14ac:dyDescent="0.2">
      <c r="A383" s="2"/>
      <c r="B383" s="2"/>
      <c r="C383" s="35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2.75" x14ac:dyDescent="0.2">
      <c r="A384" s="2"/>
      <c r="B384" s="2"/>
      <c r="C384" s="35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2.75" x14ac:dyDescent="0.2">
      <c r="A385" s="2"/>
      <c r="B385" s="2"/>
      <c r="C385" s="35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2.75" x14ac:dyDescent="0.2">
      <c r="A386" s="2"/>
      <c r="B386" s="2"/>
      <c r="C386" s="35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2.75" x14ac:dyDescent="0.2">
      <c r="A387" s="2"/>
      <c r="B387" s="2"/>
      <c r="C387" s="35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2.75" x14ac:dyDescent="0.2">
      <c r="A388" s="2"/>
      <c r="B388" s="2"/>
      <c r="C388" s="35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2.75" x14ac:dyDescent="0.2">
      <c r="A389" s="2"/>
      <c r="B389" s="2"/>
      <c r="C389" s="35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2.75" x14ac:dyDescent="0.2">
      <c r="A390" s="2"/>
      <c r="B390" s="2"/>
      <c r="C390" s="35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2.75" x14ac:dyDescent="0.2">
      <c r="A391" s="2"/>
      <c r="B391" s="2"/>
      <c r="C391" s="35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2.75" x14ac:dyDescent="0.2">
      <c r="A392" s="2"/>
      <c r="B392" s="2"/>
      <c r="C392" s="35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2.75" x14ac:dyDescent="0.2">
      <c r="A393" s="2"/>
      <c r="B393" s="2"/>
      <c r="C393" s="35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2.75" x14ac:dyDescent="0.2">
      <c r="A394" s="2"/>
      <c r="B394" s="2"/>
      <c r="C394" s="35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2.75" x14ac:dyDescent="0.2">
      <c r="A395" s="2"/>
      <c r="B395" s="2"/>
      <c r="C395" s="35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2.75" x14ac:dyDescent="0.2">
      <c r="A396" s="2"/>
      <c r="B396" s="2"/>
      <c r="C396" s="35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2.75" x14ac:dyDescent="0.2">
      <c r="A397" s="2"/>
      <c r="B397" s="2"/>
      <c r="C397" s="35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2.75" x14ac:dyDescent="0.2">
      <c r="A398" s="2"/>
      <c r="B398" s="2"/>
      <c r="C398" s="35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2.75" x14ac:dyDescent="0.2">
      <c r="A399" s="2"/>
      <c r="B399" s="2"/>
      <c r="C399" s="35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2.75" x14ac:dyDescent="0.2">
      <c r="A400" s="2"/>
      <c r="B400" s="2"/>
      <c r="C400" s="35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2.75" x14ac:dyDescent="0.2">
      <c r="A401" s="2"/>
      <c r="B401" s="2"/>
      <c r="C401" s="35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2.75" x14ac:dyDescent="0.2">
      <c r="A402" s="2"/>
      <c r="B402" s="2"/>
      <c r="C402" s="35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2.75" x14ac:dyDescent="0.2">
      <c r="A403" s="2"/>
      <c r="B403" s="2"/>
      <c r="C403" s="35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2.75" x14ac:dyDescent="0.2">
      <c r="A404" s="2"/>
      <c r="B404" s="2"/>
      <c r="C404" s="35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2.75" x14ac:dyDescent="0.2">
      <c r="A405" s="2"/>
      <c r="B405" s="2"/>
      <c r="C405" s="35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2.75" x14ac:dyDescent="0.2">
      <c r="A406" s="2"/>
      <c r="B406" s="2"/>
      <c r="C406" s="35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2.75" x14ac:dyDescent="0.2">
      <c r="A407" s="2"/>
      <c r="B407" s="2"/>
      <c r="C407" s="35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2.75" x14ac:dyDescent="0.2">
      <c r="A408" s="2"/>
      <c r="B408" s="2"/>
      <c r="C408" s="35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2.75" x14ac:dyDescent="0.2">
      <c r="A409" s="2"/>
      <c r="B409" s="2"/>
      <c r="C409" s="35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2.75" x14ac:dyDescent="0.2">
      <c r="A410" s="2"/>
      <c r="B410" s="2"/>
      <c r="C410" s="35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2.75" x14ac:dyDescent="0.2">
      <c r="A411" s="2"/>
      <c r="B411" s="2"/>
      <c r="C411" s="35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2.75" x14ac:dyDescent="0.2">
      <c r="A412" s="2"/>
      <c r="B412" s="2"/>
      <c r="C412" s="35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2.75" x14ac:dyDescent="0.2">
      <c r="A413" s="2"/>
      <c r="B413" s="2"/>
      <c r="C413" s="35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2.75" x14ac:dyDescent="0.2">
      <c r="A414" s="2"/>
      <c r="B414" s="2"/>
      <c r="C414" s="35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2.75" x14ac:dyDescent="0.2">
      <c r="A415" s="2"/>
      <c r="B415" s="2"/>
      <c r="C415" s="35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2.75" x14ac:dyDescent="0.2">
      <c r="A416" s="2"/>
      <c r="B416" s="2"/>
      <c r="C416" s="35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2.75" x14ac:dyDescent="0.2">
      <c r="A417" s="2"/>
      <c r="B417" s="2"/>
      <c r="C417" s="35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2.75" x14ac:dyDescent="0.2">
      <c r="A418" s="2"/>
      <c r="B418" s="2"/>
      <c r="C418" s="35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2.75" x14ac:dyDescent="0.2">
      <c r="A419" s="2"/>
      <c r="B419" s="2"/>
      <c r="C419" s="35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2.75" x14ac:dyDescent="0.2">
      <c r="A420" s="2"/>
      <c r="B420" s="2"/>
      <c r="C420" s="35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2.75" x14ac:dyDescent="0.2">
      <c r="A421" s="2"/>
      <c r="B421" s="2"/>
      <c r="C421" s="35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2.75" x14ac:dyDescent="0.2">
      <c r="A422" s="2"/>
      <c r="B422" s="2"/>
      <c r="C422" s="35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2.75" x14ac:dyDescent="0.2">
      <c r="A423" s="2"/>
      <c r="B423" s="2"/>
      <c r="C423" s="35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2.75" x14ac:dyDescent="0.2">
      <c r="A424" s="2"/>
      <c r="B424" s="2"/>
      <c r="C424" s="35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2.75" x14ac:dyDescent="0.2">
      <c r="A425" s="2"/>
      <c r="B425" s="2"/>
      <c r="C425" s="35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2.75" x14ac:dyDescent="0.2">
      <c r="A426" s="2"/>
      <c r="B426" s="2"/>
      <c r="C426" s="35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2.75" x14ac:dyDescent="0.2">
      <c r="A427" s="2"/>
      <c r="B427" s="2"/>
      <c r="C427" s="35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2.75" x14ac:dyDescent="0.2">
      <c r="A428" s="2"/>
      <c r="B428" s="2"/>
      <c r="C428" s="35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2.75" x14ac:dyDescent="0.2">
      <c r="A429" s="2"/>
      <c r="B429" s="2"/>
      <c r="C429" s="35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2.75" x14ac:dyDescent="0.2">
      <c r="A430" s="2"/>
      <c r="B430" s="2"/>
      <c r="C430" s="35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2.75" x14ac:dyDescent="0.2">
      <c r="A431" s="2"/>
      <c r="B431" s="2"/>
      <c r="C431" s="35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2.75" x14ac:dyDescent="0.2">
      <c r="A432" s="2"/>
      <c r="B432" s="2"/>
      <c r="C432" s="35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2.75" x14ac:dyDescent="0.2">
      <c r="A433" s="2"/>
      <c r="B433" s="2"/>
      <c r="C433" s="35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2.75" x14ac:dyDescent="0.2">
      <c r="A434" s="2"/>
      <c r="B434" s="2"/>
      <c r="C434" s="35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2.75" x14ac:dyDescent="0.2">
      <c r="A435" s="2"/>
      <c r="B435" s="2"/>
      <c r="C435" s="35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2.75" x14ac:dyDescent="0.2">
      <c r="A436" s="2"/>
      <c r="B436" s="2"/>
      <c r="C436" s="35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2.75" x14ac:dyDescent="0.2">
      <c r="A437" s="2"/>
      <c r="B437" s="2"/>
      <c r="C437" s="35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2.75" x14ac:dyDescent="0.2">
      <c r="A438" s="2"/>
      <c r="B438" s="2"/>
      <c r="C438" s="35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2.75" x14ac:dyDescent="0.2">
      <c r="A439" s="2"/>
      <c r="B439" s="2"/>
      <c r="C439" s="35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2.75" x14ac:dyDescent="0.2">
      <c r="A440" s="2"/>
      <c r="B440" s="2"/>
      <c r="C440" s="35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2.75" x14ac:dyDescent="0.2">
      <c r="A441" s="2"/>
      <c r="B441" s="2"/>
      <c r="C441" s="35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2.75" x14ac:dyDescent="0.2">
      <c r="A442" s="2"/>
      <c r="B442" s="2"/>
      <c r="C442" s="35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2.75" x14ac:dyDescent="0.2">
      <c r="A443" s="2"/>
      <c r="B443" s="2"/>
      <c r="C443" s="35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2.75" x14ac:dyDescent="0.2">
      <c r="A444" s="2"/>
      <c r="B444" s="2"/>
      <c r="C444" s="35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2.75" x14ac:dyDescent="0.2">
      <c r="A445" s="2"/>
      <c r="B445" s="2"/>
      <c r="C445" s="35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2.75" x14ac:dyDescent="0.2">
      <c r="A446" s="2"/>
      <c r="B446" s="2"/>
      <c r="C446" s="35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2.75" x14ac:dyDescent="0.2">
      <c r="A447" s="2"/>
      <c r="B447" s="2"/>
      <c r="C447" s="35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2.75" x14ac:dyDescent="0.2">
      <c r="A448" s="2"/>
      <c r="B448" s="2"/>
      <c r="C448" s="35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2.75" x14ac:dyDescent="0.2">
      <c r="A449" s="2"/>
      <c r="B449" s="2"/>
      <c r="C449" s="35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2.75" x14ac:dyDescent="0.2">
      <c r="A450" s="2"/>
      <c r="B450" s="2"/>
      <c r="C450" s="35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2.75" x14ac:dyDescent="0.2">
      <c r="A451" s="2"/>
      <c r="B451" s="2"/>
      <c r="C451" s="35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2.75" x14ac:dyDescent="0.2">
      <c r="A452" s="2"/>
      <c r="B452" s="2"/>
      <c r="C452" s="35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2.75" x14ac:dyDescent="0.2">
      <c r="A453" s="2"/>
      <c r="B453" s="2"/>
      <c r="C453" s="35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2.75" x14ac:dyDescent="0.2">
      <c r="A454" s="2"/>
      <c r="B454" s="2"/>
      <c r="C454" s="35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2.75" x14ac:dyDescent="0.2">
      <c r="A455" s="2"/>
      <c r="B455" s="2"/>
      <c r="C455" s="35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2.75" x14ac:dyDescent="0.2">
      <c r="A456" s="2"/>
      <c r="B456" s="2"/>
      <c r="C456" s="35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2.75" x14ac:dyDescent="0.2">
      <c r="A457" s="2"/>
      <c r="B457" s="2"/>
      <c r="C457" s="35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2.75" x14ac:dyDescent="0.2">
      <c r="A458" s="2"/>
      <c r="B458" s="2"/>
      <c r="C458" s="35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2.75" x14ac:dyDescent="0.2">
      <c r="A459" s="2"/>
      <c r="B459" s="2"/>
      <c r="C459" s="35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2.75" x14ac:dyDescent="0.2">
      <c r="A460" s="2"/>
      <c r="B460" s="2"/>
      <c r="C460" s="35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2.75" x14ac:dyDescent="0.2">
      <c r="A461" s="2"/>
      <c r="B461" s="2"/>
      <c r="C461" s="35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2.75" x14ac:dyDescent="0.2">
      <c r="A462" s="2"/>
      <c r="B462" s="2"/>
      <c r="C462" s="35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2.75" x14ac:dyDescent="0.2">
      <c r="A463" s="2"/>
      <c r="B463" s="2"/>
      <c r="C463" s="35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2.75" x14ac:dyDescent="0.2">
      <c r="A464" s="2"/>
      <c r="B464" s="2"/>
      <c r="C464" s="35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2.75" x14ac:dyDescent="0.2">
      <c r="A465" s="2"/>
      <c r="B465" s="2"/>
      <c r="C465" s="35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2.75" x14ac:dyDescent="0.2">
      <c r="A466" s="2"/>
      <c r="B466" s="2"/>
      <c r="C466" s="35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2.75" x14ac:dyDescent="0.2">
      <c r="A467" s="2"/>
      <c r="B467" s="2"/>
      <c r="C467" s="35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2.75" x14ac:dyDescent="0.2">
      <c r="A468" s="2"/>
      <c r="B468" s="2"/>
      <c r="C468" s="35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2.75" x14ac:dyDescent="0.2">
      <c r="A469" s="2"/>
      <c r="B469" s="2"/>
      <c r="C469" s="35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2.75" x14ac:dyDescent="0.2">
      <c r="A470" s="2"/>
      <c r="B470" s="2"/>
      <c r="C470" s="35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2.75" x14ac:dyDescent="0.2">
      <c r="A471" s="2"/>
      <c r="B471" s="2"/>
      <c r="C471" s="35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2.75" x14ac:dyDescent="0.2">
      <c r="A472" s="2"/>
      <c r="B472" s="2"/>
      <c r="C472" s="35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2.75" x14ac:dyDescent="0.2">
      <c r="A473" s="2"/>
      <c r="B473" s="2"/>
      <c r="C473" s="35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2.75" x14ac:dyDescent="0.2">
      <c r="A474" s="2"/>
      <c r="B474" s="2"/>
      <c r="C474" s="35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2.75" x14ac:dyDescent="0.2">
      <c r="A475" s="2"/>
      <c r="B475" s="2"/>
      <c r="C475" s="35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2.75" x14ac:dyDescent="0.2">
      <c r="A476" s="2"/>
      <c r="B476" s="2"/>
      <c r="C476" s="35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2.75" x14ac:dyDescent="0.2">
      <c r="A477" s="2"/>
      <c r="B477" s="2"/>
      <c r="C477" s="35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2.75" x14ac:dyDescent="0.2">
      <c r="A478" s="2"/>
      <c r="B478" s="2"/>
      <c r="C478" s="35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2.75" x14ac:dyDescent="0.2">
      <c r="A479" s="2"/>
      <c r="B479" s="2"/>
      <c r="C479" s="35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2.75" x14ac:dyDescent="0.2">
      <c r="A480" s="2"/>
      <c r="B480" s="2"/>
      <c r="C480" s="35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2.75" x14ac:dyDescent="0.2">
      <c r="A481" s="2"/>
      <c r="B481" s="2"/>
      <c r="C481" s="35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2.75" x14ac:dyDescent="0.2">
      <c r="A482" s="2"/>
      <c r="B482" s="2"/>
      <c r="C482" s="35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2.75" x14ac:dyDescent="0.2">
      <c r="A483" s="2"/>
      <c r="B483" s="2"/>
      <c r="C483" s="35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2.75" x14ac:dyDescent="0.2">
      <c r="A484" s="2"/>
      <c r="B484" s="2"/>
      <c r="C484" s="35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2.75" x14ac:dyDescent="0.2">
      <c r="A485" s="2"/>
      <c r="B485" s="2"/>
      <c r="C485" s="35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2.75" x14ac:dyDescent="0.2">
      <c r="A486" s="2"/>
      <c r="B486" s="2"/>
      <c r="C486" s="35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2.75" x14ac:dyDescent="0.2">
      <c r="A487" s="2"/>
      <c r="B487" s="2"/>
      <c r="C487" s="35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2.75" x14ac:dyDescent="0.2">
      <c r="A488" s="2"/>
      <c r="B488" s="2"/>
      <c r="C488" s="35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2.75" x14ac:dyDescent="0.2">
      <c r="A489" s="2"/>
      <c r="B489" s="2"/>
      <c r="C489" s="35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2.75" x14ac:dyDescent="0.2">
      <c r="A490" s="2"/>
      <c r="B490" s="2"/>
      <c r="C490" s="35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2.75" x14ac:dyDescent="0.2">
      <c r="A491" s="2"/>
      <c r="B491" s="2"/>
      <c r="C491" s="35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2.75" x14ac:dyDescent="0.2">
      <c r="A492" s="2"/>
      <c r="B492" s="2"/>
      <c r="C492" s="35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2.75" x14ac:dyDescent="0.2">
      <c r="A493" s="2"/>
      <c r="B493" s="2"/>
      <c r="C493" s="35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2.75" x14ac:dyDescent="0.2">
      <c r="A494" s="2"/>
      <c r="B494" s="2"/>
      <c r="C494" s="35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2.75" x14ac:dyDescent="0.2">
      <c r="A495" s="2"/>
      <c r="B495" s="2"/>
      <c r="C495" s="35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2.75" x14ac:dyDescent="0.2">
      <c r="A496" s="2"/>
      <c r="B496" s="2"/>
      <c r="C496" s="35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2.75" x14ac:dyDescent="0.2">
      <c r="A497" s="2"/>
      <c r="B497" s="2"/>
      <c r="C497" s="35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2.75" x14ac:dyDescent="0.2">
      <c r="A498" s="2"/>
      <c r="B498" s="2"/>
      <c r="C498" s="35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2.75" x14ac:dyDescent="0.2">
      <c r="A499" s="2"/>
      <c r="B499" s="2"/>
      <c r="C499" s="35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2.75" x14ac:dyDescent="0.2">
      <c r="A500" s="2"/>
      <c r="B500" s="2"/>
      <c r="C500" s="35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2.75" x14ac:dyDescent="0.2">
      <c r="A501" s="2"/>
      <c r="B501" s="2"/>
      <c r="C501" s="35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2.75" x14ac:dyDescent="0.2">
      <c r="A502" s="2"/>
      <c r="B502" s="2"/>
      <c r="C502" s="35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2.75" x14ac:dyDescent="0.2">
      <c r="A503" s="2"/>
      <c r="B503" s="2"/>
      <c r="C503" s="35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2.75" x14ac:dyDescent="0.2">
      <c r="A504" s="2"/>
      <c r="B504" s="2"/>
      <c r="C504" s="35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2.75" x14ac:dyDescent="0.2">
      <c r="A505" s="2"/>
      <c r="B505" s="2"/>
      <c r="C505" s="35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2.75" x14ac:dyDescent="0.2">
      <c r="A506" s="2"/>
      <c r="B506" s="2"/>
      <c r="C506" s="35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2.75" x14ac:dyDescent="0.2">
      <c r="A507" s="2"/>
      <c r="B507" s="2"/>
      <c r="C507" s="35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2.75" x14ac:dyDescent="0.2">
      <c r="A508" s="2"/>
      <c r="B508" s="2"/>
      <c r="C508" s="35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2.75" x14ac:dyDescent="0.2">
      <c r="A509" s="2"/>
      <c r="B509" s="2"/>
      <c r="C509" s="35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2.75" x14ac:dyDescent="0.2">
      <c r="A510" s="2"/>
      <c r="B510" s="2"/>
      <c r="C510" s="35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2.75" x14ac:dyDescent="0.2">
      <c r="A511" s="2"/>
      <c r="B511" s="2"/>
      <c r="C511" s="35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2.75" x14ac:dyDescent="0.2">
      <c r="A512" s="2"/>
      <c r="B512" s="2"/>
      <c r="C512" s="35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2.75" x14ac:dyDescent="0.2">
      <c r="A513" s="2"/>
      <c r="B513" s="2"/>
      <c r="C513" s="35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2.75" x14ac:dyDescent="0.2">
      <c r="A514" s="2"/>
      <c r="B514" s="2"/>
      <c r="C514" s="35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2.75" x14ac:dyDescent="0.2">
      <c r="A515" s="2"/>
      <c r="B515" s="2"/>
      <c r="C515" s="35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2.75" x14ac:dyDescent="0.2">
      <c r="A516" s="2"/>
      <c r="B516" s="2"/>
      <c r="C516" s="35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2.75" x14ac:dyDescent="0.2">
      <c r="A517" s="2"/>
      <c r="B517" s="2"/>
      <c r="C517" s="35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2.75" x14ac:dyDescent="0.2">
      <c r="A518" s="2"/>
      <c r="B518" s="2"/>
      <c r="C518" s="35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2.75" x14ac:dyDescent="0.2">
      <c r="A519" s="2"/>
      <c r="B519" s="2"/>
      <c r="C519" s="35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2.75" x14ac:dyDescent="0.2">
      <c r="A520" s="2"/>
      <c r="B520" s="2"/>
      <c r="C520" s="35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2.75" x14ac:dyDescent="0.2">
      <c r="A521" s="2"/>
      <c r="B521" s="2"/>
      <c r="C521" s="35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2.75" x14ac:dyDescent="0.2">
      <c r="A522" s="2"/>
      <c r="B522" s="2"/>
      <c r="C522" s="35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2.75" x14ac:dyDescent="0.2">
      <c r="A523" s="2"/>
      <c r="B523" s="2"/>
      <c r="C523" s="35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2.75" x14ac:dyDescent="0.2">
      <c r="A524" s="2"/>
      <c r="B524" s="2"/>
      <c r="C524" s="35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2.75" x14ac:dyDescent="0.2">
      <c r="A525" s="2"/>
      <c r="B525" s="2"/>
      <c r="C525" s="35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2.75" x14ac:dyDescent="0.2">
      <c r="A526" s="2"/>
      <c r="B526" s="2"/>
      <c r="C526" s="35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2.75" x14ac:dyDescent="0.2">
      <c r="A527" s="2"/>
      <c r="B527" s="2"/>
      <c r="C527" s="35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2.75" x14ac:dyDescent="0.2">
      <c r="A528" s="2"/>
      <c r="B528" s="2"/>
      <c r="C528" s="35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2.75" x14ac:dyDescent="0.2">
      <c r="A529" s="2"/>
      <c r="B529" s="2"/>
      <c r="C529" s="35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2.75" x14ac:dyDescent="0.2">
      <c r="A530" s="2"/>
      <c r="B530" s="2"/>
      <c r="C530" s="35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2.75" x14ac:dyDescent="0.2">
      <c r="A531" s="2"/>
      <c r="B531" s="2"/>
      <c r="C531" s="35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2.75" x14ac:dyDescent="0.2">
      <c r="A532" s="2"/>
      <c r="B532" s="2"/>
      <c r="C532" s="35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2.75" x14ac:dyDescent="0.2">
      <c r="A533" s="2"/>
      <c r="B533" s="2"/>
      <c r="C533" s="35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2.75" x14ac:dyDescent="0.2">
      <c r="A534" s="2"/>
      <c r="B534" s="2"/>
      <c r="C534" s="35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2.75" x14ac:dyDescent="0.2">
      <c r="A535" s="2"/>
      <c r="B535" s="2"/>
      <c r="C535" s="35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2.75" x14ac:dyDescent="0.2">
      <c r="A536" s="2"/>
      <c r="B536" s="2"/>
      <c r="C536" s="35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2.75" x14ac:dyDescent="0.2">
      <c r="A537" s="2"/>
      <c r="B537" s="2"/>
      <c r="C537" s="35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2.75" x14ac:dyDescent="0.2">
      <c r="A538" s="2"/>
      <c r="B538" s="2"/>
      <c r="C538" s="35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2.75" x14ac:dyDescent="0.2">
      <c r="A539" s="2"/>
      <c r="B539" s="2"/>
      <c r="C539" s="35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2.75" x14ac:dyDescent="0.2">
      <c r="A540" s="2"/>
      <c r="B540" s="2"/>
      <c r="C540" s="35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2.75" x14ac:dyDescent="0.2">
      <c r="A541" s="2"/>
      <c r="B541" s="2"/>
      <c r="C541" s="35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2.75" x14ac:dyDescent="0.2">
      <c r="A542" s="2"/>
      <c r="B542" s="2"/>
      <c r="C542" s="35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2.75" x14ac:dyDescent="0.2">
      <c r="A543" s="2"/>
      <c r="B543" s="2"/>
      <c r="C543" s="35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2.75" x14ac:dyDescent="0.2">
      <c r="A544" s="2"/>
      <c r="B544" s="2"/>
      <c r="C544" s="35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2.75" x14ac:dyDescent="0.2">
      <c r="A545" s="2"/>
      <c r="B545" s="2"/>
      <c r="C545" s="35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2.75" x14ac:dyDescent="0.2">
      <c r="A546" s="2"/>
      <c r="B546" s="2"/>
      <c r="C546" s="35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2.75" x14ac:dyDescent="0.2">
      <c r="A547" s="2"/>
      <c r="B547" s="2"/>
      <c r="C547" s="35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2.75" x14ac:dyDescent="0.2">
      <c r="A548" s="2"/>
      <c r="B548" s="2"/>
      <c r="C548" s="35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2.75" x14ac:dyDescent="0.2">
      <c r="A549" s="2"/>
      <c r="B549" s="2"/>
      <c r="C549" s="35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2.75" x14ac:dyDescent="0.2">
      <c r="A550" s="2"/>
      <c r="B550" s="2"/>
      <c r="C550" s="35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2.75" x14ac:dyDescent="0.2">
      <c r="A551" s="2"/>
      <c r="B551" s="2"/>
      <c r="C551" s="35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2.75" x14ac:dyDescent="0.2">
      <c r="A552" s="2"/>
      <c r="B552" s="2"/>
      <c r="C552" s="35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2.75" x14ac:dyDescent="0.2">
      <c r="A553" s="2"/>
      <c r="B553" s="2"/>
      <c r="C553" s="35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2.75" x14ac:dyDescent="0.2">
      <c r="A554" s="2"/>
      <c r="B554" s="2"/>
      <c r="C554" s="35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2.75" x14ac:dyDescent="0.2">
      <c r="A555" s="2"/>
      <c r="B555" s="2"/>
      <c r="C555" s="35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2.75" x14ac:dyDescent="0.2">
      <c r="A556" s="2"/>
      <c r="B556" s="2"/>
      <c r="C556" s="35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2.75" x14ac:dyDescent="0.2">
      <c r="A557" s="2"/>
      <c r="B557" s="2"/>
      <c r="C557" s="35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2.75" x14ac:dyDescent="0.2">
      <c r="A558" s="2"/>
      <c r="B558" s="2"/>
      <c r="C558" s="35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2.75" x14ac:dyDescent="0.2">
      <c r="A559" s="2"/>
      <c r="B559" s="2"/>
      <c r="C559" s="35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2.75" x14ac:dyDescent="0.2">
      <c r="A560" s="2"/>
      <c r="B560" s="2"/>
      <c r="C560" s="35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2.75" x14ac:dyDescent="0.2">
      <c r="A561" s="2"/>
      <c r="B561" s="2"/>
      <c r="C561" s="35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2.75" x14ac:dyDescent="0.2">
      <c r="A562" s="2"/>
      <c r="B562" s="2"/>
      <c r="C562" s="35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2.75" x14ac:dyDescent="0.2">
      <c r="A563" s="2"/>
      <c r="B563" s="2"/>
      <c r="C563" s="35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2.75" x14ac:dyDescent="0.2">
      <c r="A564" s="2"/>
      <c r="B564" s="2"/>
      <c r="C564" s="35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2.75" x14ac:dyDescent="0.2">
      <c r="A565" s="2"/>
      <c r="B565" s="2"/>
      <c r="C565" s="35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2.75" x14ac:dyDescent="0.2">
      <c r="A566" s="2"/>
      <c r="B566" s="2"/>
      <c r="C566" s="35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2.75" x14ac:dyDescent="0.2">
      <c r="A567" s="2"/>
      <c r="B567" s="2"/>
      <c r="C567" s="35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2.75" x14ac:dyDescent="0.2">
      <c r="A568" s="2"/>
      <c r="B568" s="2"/>
      <c r="C568" s="35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2.75" x14ac:dyDescent="0.2">
      <c r="A569" s="2"/>
      <c r="B569" s="2"/>
      <c r="C569" s="35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2.75" x14ac:dyDescent="0.2">
      <c r="A570" s="2"/>
      <c r="B570" s="2"/>
      <c r="C570" s="35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2.75" x14ac:dyDescent="0.2">
      <c r="A571" s="2"/>
      <c r="B571" s="2"/>
      <c r="C571" s="35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2.75" x14ac:dyDescent="0.2">
      <c r="A572" s="2"/>
      <c r="B572" s="2"/>
      <c r="C572" s="35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2.75" x14ac:dyDescent="0.2">
      <c r="A573" s="2"/>
      <c r="B573" s="2"/>
      <c r="C573" s="35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2.75" x14ac:dyDescent="0.2">
      <c r="A574" s="2"/>
      <c r="B574" s="2"/>
      <c r="C574" s="35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2.75" x14ac:dyDescent="0.2">
      <c r="A575" s="2"/>
      <c r="B575" s="2"/>
      <c r="C575" s="35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2.75" x14ac:dyDescent="0.2">
      <c r="A576" s="2"/>
      <c r="B576" s="2"/>
      <c r="C576" s="35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2.75" x14ac:dyDescent="0.2">
      <c r="A577" s="2"/>
      <c r="B577" s="2"/>
      <c r="C577" s="35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2.75" x14ac:dyDescent="0.2">
      <c r="A578" s="2"/>
      <c r="B578" s="2"/>
      <c r="C578" s="35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2.75" x14ac:dyDescent="0.2">
      <c r="A579" s="2"/>
      <c r="B579" s="2"/>
      <c r="C579" s="35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2.75" x14ac:dyDescent="0.2">
      <c r="A580" s="2"/>
      <c r="B580" s="2"/>
      <c r="C580" s="35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2.75" x14ac:dyDescent="0.2">
      <c r="A581" s="2"/>
      <c r="B581" s="2"/>
      <c r="C581" s="35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2.75" x14ac:dyDescent="0.2">
      <c r="A582" s="2"/>
      <c r="B582" s="2"/>
      <c r="C582" s="35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2.75" x14ac:dyDescent="0.2">
      <c r="A583" s="2"/>
      <c r="B583" s="2"/>
      <c r="C583" s="35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2.75" x14ac:dyDescent="0.2">
      <c r="A584" s="2"/>
      <c r="B584" s="2"/>
      <c r="C584" s="35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2.75" x14ac:dyDescent="0.2">
      <c r="A585" s="2"/>
      <c r="B585" s="2"/>
      <c r="C585" s="35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2.75" x14ac:dyDescent="0.2">
      <c r="A586" s="2"/>
      <c r="B586" s="2"/>
      <c r="C586" s="35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2.75" x14ac:dyDescent="0.2">
      <c r="A587" s="2"/>
      <c r="B587" s="2"/>
      <c r="C587" s="35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2.75" x14ac:dyDescent="0.2">
      <c r="A588" s="2"/>
      <c r="B588" s="2"/>
      <c r="C588" s="35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2.75" x14ac:dyDescent="0.2">
      <c r="A589" s="2"/>
      <c r="B589" s="2"/>
      <c r="C589" s="35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2.75" x14ac:dyDescent="0.2">
      <c r="A590" s="2"/>
      <c r="B590" s="2"/>
      <c r="C590" s="35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2.75" x14ac:dyDescent="0.2">
      <c r="A591" s="2"/>
      <c r="B591" s="2"/>
      <c r="C591" s="35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2.75" x14ac:dyDescent="0.2">
      <c r="A592" s="2"/>
      <c r="B592" s="2"/>
      <c r="C592" s="35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2.75" x14ac:dyDescent="0.2">
      <c r="A593" s="2"/>
      <c r="B593" s="2"/>
      <c r="C593" s="35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2.75" x14ac:dyDescent="0.2">
      <c r="A594" s="2"/>
      <c r="B594" s="2"/>
      <c r="C594" s="35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2.75" x14ac:dyDescent="0.2">
      <c r="A595" s="2"/>
      <c r="B595" s="2"/>
      <c r="C595" s="35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2.75" x14ac:dyDescent="0.2">
      <c r="A596" s="2"/>
      <c r="B596" s="2"/>
      <c r="C596" s="35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2.75" x14ac:dyDescent="0.2">
      <c r="A597" s="2"/>
      <c r="B597" s="2"/>
      <c r="C597" s="35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2.75" x14ac:dyDescent="0.2">
      <c r="A598" s="2"/>
      <c r="B598" s="2"/>
      <c r="C598" s="35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2.75" x14ac:dyDescent="0.2">
      <c r="A599" s="2"/>
      <c r="B599" s="2"/>
      <c r="C599" s="35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2.75" x14ac:dyDescent="0.2">
      <c r="A600" s="2"/>
      <c r="B600" s="2"/>
      <c r="C600" s="35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2.75" x14ac:dyDescent="0.2">
      <c r="A601" s="2"/>
      <c r="B601" s="2"/>
      <c r="C601" s="35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2.75" x14ac:dyDescent="0.2">
      <c r="A602" s="2"/>
      <c r="B602" s="2"/>
      <c r="C602" s="35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2.75" x14ac:dyDescent="0.2">
      <c r="A603" s="2"/>
      <c r="B603" s="2"/>
      <c r="C603" s="35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2.75" x14ac:dyDescent="0.2">
      <c r="A604" s="2"/>
      <c r="B604" s="2"/>
      <c r="C604" s="35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2.75" x14ac:dyDescent="0.2">
      <c r="A605" s="2"/>
      <c r="B605" s="2"/>
      <c r="C605" s="35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2.75" x14ac:dyDescent="0.2">
      <c r="A606" s="2"/>
      <c r="B606" s="2"/>
      <c r="C606" s="35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2.75" x14ac:dyDescent="0.2">
      <c r="A607" s="2"/>
      <c r="B607" s="2"/>
      <c r="C607" s="35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2.75" x14ac:dyDescent="0.2">
      <c r="A608" s="2"/>
      <c r="B608" s="2"/>
      <c r="C608" s="35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2.75" x14ac:dyDescent="0.2">
      <c r="A609" s="2"/>
      <c r="B609" s="2"/>
      <c r="C609" s="35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2.75" x14ac:dyDescent="0.2">
      <c r="A610" s="2"/>
      <c r="B610" s="2"/>
      <c r="C610" s="35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2.75" x14ac:dyDescent="0.2">
      <c r="A611" s="2"/>
      <c r="B611" s="2"/>
      <c r="C611" s="35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2.75" x14ac:dyDescent="0.2">
      <c r="A612" s="2"/>
      <c r="B612" s="2"/>
      <c r="C612" s="35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2.75" x14ac:dyDescent="0.2">
      <c r="A613" s="2"/>
      <c r="B613" s="2"/>
      <c r="C613" s="35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2.75" x14ac:dyDescent="0.2">
      <c r="A614" s="2"/>
      <c r="B614" s="2"/>
      <c r="C614" s="35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2.75" x14ac:dyDescent="0.2">
      <c r="A615" s="2"/>
      <c r="B615" s="2"/>
      <c r="C615" s="35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2.75" x14ac:dyDescent="0.2">
      <c r="A616" s="2"/>
      <c r="B616" s="2"/>
      <c r="C616" s="35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2.75" x14ac:dyDescent="0.2">
      <c r="A617" s="2"/>
      <c r="B617" s="2"/>
      <c r="C617" s="35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2.75" x14ac:dyDescent="0.2">
      <c r="A618" s="2"/>
      <c r="B618" s="2"/>
      <c r="C618" s="35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2.75" x14ac:dyDescent="0.2">
      <c r="A619" s="2"/>
      <c r="B619" s="2"/>
      <c r="C619" s="35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2.75" x14ac:dyDescent="0.2">
      <c r="A620" s="2"/>
      <c r="B620" s="2"/>
      <c r="C620" s="35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2.75" x14ac:dyDescent="0.2">
      <c r="A621" s="2"/>
      <c r="B621" s="2"/>
      <c r="C621" s="35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2.75" x14ac:dyDescent="0.2">
      <c r="A622" s="2"/>
      <c r="B622" s="2"/>
      <c r="C622" s="35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2.75" x14ac:dyDescent="0.2">
      <c r="A623" s="2"/>
      <c r="B623" s="2"/>
      <c r="C623" s="35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2.75" x14ac:dyDescent="0.2">
      <c r="A624" s="2"/>
      <c r="B624" s="2"/>
      <c r="C624" s="35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2.75" x14ac:dyDescent="0.2">
      <c r="A625" s="2"/>
      <c r="B625" s="2"/>
      <c r="C625" s="35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2.75" x14ac:dyDescent="0.2">
      <c r="A626" s="2"/>
      <c r="B626" s="2"/>
      <c r="C626" s="35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2.75" x14ac:dyDescent="0.2">
      <c r="A627" s="2"/>
      <c r="B627" s="2"/>
      <c r="C627" s="35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2.75" x14ac:dyDescent="0.2">
      <c r="A628" s="2"/>
      <c r="B628" s="2"/>
      <c r="C628" s="35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2.75" x14ac:dyDescent="0.2">
      <c r="A629" s="2"/>
      <c r="B629" s="2"/>
      <c r="C629" s="35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2.75" x14ac:dyDescent="0.2">
      <c r="A630" s="2"/>
      <c r="B630" s="2"/>
      <c r="C630" s="35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2.75" x14ac:dyDescent="0.2">
      <c r="A631" s="2"/>
      <c r="B631" s="2"/>
      <c r="C631" s="35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2.75" x14ac:dyDescent="0.2">
      <c r="A632" s="2"/>
      <c r="B632" s="2"/>
      <c r="C632" s="35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2.75" x14ac:dyDescent="0.2">
      <c r="A633" s="2"/>
      <c r="B633" s="2"/>
      <c r="C633" s="35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2.75" x14ac:dyDescent="0.2">
      <c r="A634" s="2"/>
      <c r="B634" s="2"/>
      <c r="C634" s="35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2.75" x14ac:dyDescent="0.2">
      <c r="A635" s="2"/>
      <c r="B635" s="2"/>
      <c r="C635" s="35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2.75" x14ac:dyDescent="0.2">
      <c r="A636" s="2"/>
      <c r="B636" s="2"/>
      <c r="C636" s="35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2.75" x14ac:dyDescent="0.2">
      <c r="A637" s="2"/>
      <c r="B637" s="2"/>
      <c r="C637" s="35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2.75" x14ac:dyDescent="0.2">
      <c r="A638" s="2"/>
      <c r="B638" s="2"/>
      <c r="C638" s="35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2.75" x14ac:dyDescent="0.2">
      <c r="A639" s="2"/>
      <c r="B639" s="2"/>
      <c r="C639" s="35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2.75" x14ac:dyDescent="0.2">
      <c r="A640" s="2"/>
      <c r="B640" s="2"/>
      <c r="C640" s="35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2.75" x14ac:dyDescent="0.2">
      <c r="A641" s="2"/>
      <c r="B641" s="2"/>
      <c r="C641" s="35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2.75" x14ac:dyDescent="0.2">
      <c r="A642" s="2"/>
      <c r="B642" s="2"/>
      <c r="C642" s="35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2.75" x14ac:dyDescent="0.2">
      <c r="A643" s="2"/>
      <c r="B643" s="2"/>
      <c r="C643" s="35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2.75" x14ac:dyDescent="0.2">
      <c r="A644" s="2"/>
      <c r="B644" s="2"/>
      <c r="C644" s="35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2.75" x14ac:dyDescent="0.2">
      <c r="A645" s="2"/>
      <c r="B645" s="2"/>
      <c r="C645" s="35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2.75" x14ac:dyDescent="0.2">
      <c r="A646" s="2"/>
      <c r="B646" s="2"/>
      <c r="C646" s="35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2.75" x14ac:dyDescent="0.2">
      <c r="A647" s="2"/>
      <c r="B647" s="2"/>
      <c r="C647" s="35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2.75" x14ac:dyDescent="0.2">
      <c r="A648" s="2"/>
      <c r="B648" s="2"/>
      <c r="C648" s="35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2.75" x14ac:dyDescent="0.2">
      <c r="A649" s="2"/>
      <c r="B649" s="2"/>
      <c r="C649" s="35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2.75" x14ac:dyDescent="0.2">
      <c r="A650" s="2"/>
      <c r="B650" s="2"/>
      <c r="C650" s="35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2.75" x14ac:dyDescent="0.2">
      <c r="A651" s="2"/>
      <c r="B651" s="2"/>
      <c r="C651" s="35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2.75" x14ac:dyDescent="0.2">
      <c r="A652" s="2"/>
      <c r="B652" s="2"/>
      <c r="C652" s="35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2.75" x14ac:dyDescent="0.2">
      <c r="A653" s="2"/>
      <c r="B653" s="2"/>
      <c r="C653" s="35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2.75" x14ac:dyDescent="0.2">
      <c r="A654" s="2"/>
      <c r="B654" s="2"/>
      <c r="C654" s="35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2.75" x14ac:dyDescent="0.2">
      <c r="A655" s="2"/>
      <c r="B655" s="2"/>
      <c r="C655" s="35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2.75" x14ac:dyDescent="0.2">
      <c r="A656" s="2"/>
      <c r="B656" s="2"/>
      <c r="C656" s="35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2.75" x14ac:dyDescent="0.2">
      <c r="A657" s="2"/>
      <c r="B657" s="2"/>
      <c r="C657" s="35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2.75" x14ac:dyDescent="0.2">
      <c r="A658" s="2"/>
      <c r="B658" s="2"/>
      <c r="C658" s="35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2.75" x14ac:dyDescent="0.2">
      <c r="A659" s="2"/>
      <c r="B659" s="2"/>
      <c r="C659" s="35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2.75" x14ac:dyDescent="0.2">
      <c r="A660" s="2"/>
      <c r="B660" s="2"/>
      <c r="C660" s="35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2.75" x14ac:dyDescent="0.2">
      <c r="A661" s="2"/>
      <c r="B661" s="2"/>
      <c r="C661" s="35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2.75" x14ac:dyDescent="0.2">
      <c r="A662" s="2"/>
      <c r="B662" s="2"/>
      <c r="C662" s="35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2.75" x14ac:dyDescent="0.2">
      <c r="A663" s="2"/>
      <c r="B663" s="2"/>
      <c r="C663" s="35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2.75" x14ac:dyDescent="0.2">
      <c r="A664" s="2"/>
      <c r="B664" s="2"/>
      <c r="C664" s="35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2.75" x14ac:dyDescent="0.2">
      <c r="A665" s="2"/>
      <c r="B665" s="2"/>
      <c r="C665" s="35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2.75" x14ac:dyDescent="0.2">
      <c r="A666" s="2"/>
      <c r="B666" s="2"/>
      <c r="C666" s="35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2.75" x14ac:dyDescent="0.2">
      <c r="A667" s="2"/>
      <c r="B667" s="2"/>
      <c r="C667" s="35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2.75" x14ac:dyDescent="0.2">
      <c r="A668" s="2"/>
      <c r="B668" s="2"/>
      <c r="C668" s="35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2.75" x14ac:dyDescent="0.2">
      <c r="A669" s="2"/>
      <c r="B669" s="2"/>
      <c r="C669" s="35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2.75" x14ac:dyDescent="0.2">
      <c r="A670" s="2"/>
      <c r="B670" s="2"/>
      <c r="C670" s="35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2.75" x14ac:dyDescent="0.2">
      <c r="A671" s="2"/>
      <c r="B671" s="2"/>
      <c r="C671" s="35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2.75" x14ac:dyDescent="0.2">
      <c r="A672" s="2"/>
      <c r="B672" s="2"/>
      <c r="C672" s="35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2.75" x14ac:dyDescent="0.2">
      <c r="A673" s="2"/>
      <c r="B673" s="2"/>
      <c r="C673" s="35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2.75" x14ac:dyDescent="0.2">
      <c r="A674" s="2"/>
      <c r="B674" s="2"/>
      <c r="C674" s="35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2.75" x14ac:dyDescent="0.2">
      <c r="A675" s="2"/>
      <c r="B675" s="2"/>
      <c r="C675" s="35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2.75" x14ac:dyDescent="0.2">
      <c r="A676" s="2"/>
      <c r="B676" s="2"/>
      <c r="C676" s="35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2.75" x14ac:dyDescent="0.2">
      <c r="A677" s="2"/>
      <c r="B677" s="2"/>
      <c r="C677" s="35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2.75" x14ac:dyDescent="0.2">
      <c r="A678" s="2"/>
      <c r="B678" s="2"/>
      <c r="C678" s="35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2.75" x14ac:dyDescent="0.2">
      <c r="A679" s="2"/>
      <c r="B679" s="2"/>
      <c r="C679" s="35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2.75" x14ac:dyDescent="0.2">
      <c r="A680" s="2"/>
      <c r="B680" s="2"/>
      <c r="C680" s="35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2.75" x14ac:dyDescent="0.2">
      <c r="A681" s="2"/>
      <c r="B681" s="2"/>
      <c r="C681" s="35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2.75" x14ac:dyDescent="0.2">
      <c r="A682" s="2"/>
      <c r="B682" s="2"/>
      <c r="C682" s="35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2.75" x14ac:dyDescent="0.2">
      <c r="A683" s="2"/>
      <c r="B683" s="2"/>
      <c r="C683" s="35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2.75" x14ac:dyDescent="0.2">
      <c r="A684" s="2"/>
      <c r="B684" s="2"/>
      <c r="C684" s="35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2.75" x14ac:dyDescent="0.2">
      <c r="A685" s="2"/>
      <c r="B685" s="2"/>
      <c r="C685" s="35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2.75" x14ac:dyDescent="0.2">
      <c r="A686" s="2"/>
      <c r="B686" s="2"/>
      <c r="C686" s="35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2.75" x14ac:dyDescent="0.2">
      <c r="A687" s="2"/>
      <c r="B687" s="2"/>
      <c r="C687" s="35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2.75" x14ac:dyDescent="0.2">
      <c r="A688" s="2"/>
      <c r="B688" s="2"/>
      <c r="C688" s="35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2.75" x14ac:dyDescent="0.2">
      <c r="A689" s="2"/>
      <c r="B689" s="2"/>
      <c r="C689" s="35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2.75" x14ac:dyDescent="0.2">
      <c r="A690" s="2"/>
      <c r="B690" s="2"/>
      <c r="C690" s="35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2.75" x14ac:dyDescent="0.2">
      <c r="A691" s="2"/>
      <c r="B691" s="2"/>
      <c r="C691" s="35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2.75" x14ac:dyDescent="0.2">
      <c r="A692" s="2"/>
      <c r="B692" s="2"/>
      <c r="C692" s="35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2.75" x14ac:dyDescent="0.2">
      <c r="A693" s="2"/>
      <c r="B693" s="2"/>
      <c r="C693" s="35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2.75" x14ac:dyDescent="0.2">
      <c r="A694" s="2"/>
      <c r="B694" s="2"/>
      <c r="C694" s="35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2.75" x14ac:dyDescent="0.2">
      <c r="A695" s="2"/>
      <c r="B695" s="2"/>
      <c r="C695" s="35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2.75" x14ac:dyDescent="0.2">
      <c r="A696" s="2"/>
      <c r="B696" s="2"/>
      <c r="C696" s="35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2.75" x14ac:dyDescent="0.2">
      <c r="A697" s="2"/>
      <c r="B697" s="2"/>
      <c r="C697" s="35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2.75" x14ac:dyDescent="0.2">
      <c r="A698" s="2"/>
      <c r="B698" s="2"/>
      <c r="C698" s="35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2.75" x14ac:dyDescent="0.2">
      <c r="A699" s="2"/>
      <c r="B699" s="2"/>
      <c r="C699" s="35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2.75" x14ac:dyDescent="0.2">
      <c r="A700" s="2"/>
      <c r="B700" s="2"/>
      <c r="C700" s="35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2.75" x14ac:dyDescent="0.2">
      <c r="A701" s="2"/>
      <c r="B701" s="2"/>
      <c r="C701" s="35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2.75" x14ac:dyDescent="0.2">
      <c r="A702" s="2"/>
      <c r="B702" s="2"/>
      <c r="C702" s="35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2.75" x14ac:dyDescent="0.2">
      <c r="A703" s="2"/>
      <c r="B703" s="2"/>
      <c r="C703" s="35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2.75" x14ac:dyDescent="0.2">
      <c r="A704" s="2"/>
      <c r="B704" s="2"/>
      <c r="C704" s="35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2.75" x14ac:dyDescent="0.2">
      <c r="A705" s="2"/>
      <c r="B705" s="2"/>
      <c r="C705" s="35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2.75" x14ac:dyDescent="0.2">
      <c r="A706" s="2"/>
      <c r="B706" s="2"/>
      <c r="C706" s="35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2.75" x14ac:dyDescent="0.2">
      <c r="A707" s="2"/>
      <c r="B707" s="2"/>
      <c r="C707" s="35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2.75" x14ac:dyDescent="0.2">
      <c r="A708" s="2"/>
      <c r="B708" s="2"/>
      <c r="C708" s="35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2.75" x14ac:dyDescent="0.2">
      <c r="A709" s="2"/>
      <c r="B709" s="2"/>
      <c r="C709" s="35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2.75" x14ac:dyDescent="0.2">
      <c r="A710" s="2"/>
      <c r="B710" s="2"/>
      <c r="C710" s="35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2.75" x14ac:dyDescent="0.2">
      <c r="A711" s="2"/>
      <c r="B711" s="2"/>
      <c r="C711" s="35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2.75" x14ac:dyDescent="0.2">
      <c r="A712" s="2"/>
      <c r="B712" s="2"/>
      <c r="C712" s="35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2.75" x14ac:dyDescent="0.2">
      <c r="A713" s="2"/>
      <c r="B713" s="2"/>
      <c r="C713" s="35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2.75" x14ac:dyDescent="0.2">
      <c r="A714" s="2"/>
      <c r="B714" s="2"/>
      <c r="C714" s="35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2.75" x14ac:dyDescent="0.2">
      <c r="A715" s="2"/>
      <c r="B715" s="2"/>
      <c r="C715" s="35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2.75" x14ac:dyDescent="0.2">
      <c r="A716" s="2"/>
      <c r="B716" s="2"/>
      <c r="C716" s="35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2.75" x14ac:dyDescent="0.2">
      <c r="A717" s="2"/>
      <c r="B717" s="2"/>
      <c r="C717" s="35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2.75" x14ac:dyDescent="0.2">
      <c r="A718" s="2"/>
      <c r="B718" s="2"/>
      <c r="C718" s="35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2.75" x14ac:dyDescent="0.2">
      <c r="A719" s="2"/>
      <c r="B719" s="2"/>
      <c r="C719" s="35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2.75" x14ac:dyDescent="0.2">
      <c r="A720" s="2"/>
      <c r="B720" s="2"/>
      <c r="C720" s="35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2.75" x14ac:dyDescent="0.2">
      <c r="A721" s="2"/>
      <c r="B721" s="2"/>
      <c r="C721" s="35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2.75" x14ac:dyDescent="0.2">
      <c r="A722" s="2"/>
      <c r="B722" s="2"/>
      <c r="C722" s="35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2.75" x14ac:dyDescent="0.2">
      <c r="A723" s="2"/>
      <c r="B723" s="2"/>
      <c r="C723" s="35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2.75" x14ac:dyDescent="0.2">
      <c r="A724" s="2"/>
      <c r="B724" s="2"/>
      <c r="C724" s="35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2.75" x14ac:dyDescent="0.2">
      <c r="A725" s="2"/>
      <c r="B725" s="2"/>
      <c r="C725" s="35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2.75" x14ac:dyDescent="0.2">
      <c r="A726" s="2"/>
      <c r="B726" s="2"/>
      <c r="C726" s="35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2.75" x14ac:dyDescent="0.2">
      <c r="A727" s="2"/>
      <c r="B727" s="2"/>
      <c r="C727" s="35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2.75" x14ac:dyDescent="0.2">
      <c r="A728" s="2"/>
      <c r="B728" s="2"/>
      <c r="C728" s="35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2.75" x14ac:dyDescent="0.2">
      <c r="A729" s="2"/>
      <c r="B729" s="2"/>
      <c r="C729" s="35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2.75" x14ac:dyDescent="0.2">
      <c r="A730" s="2"/>
      <c r="B730" s="2"/>
      <c r="C730" s="35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2.75" x14ac:dyDescent="0.2">
      <c r="A731" s="2"/>
      <c r="B731" s="2"/>
      <c r="C731" s="35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2.75" x14ac:dyDescent="0.2">
      <c r="A732" s="2"/>
      <c r="B732" s="2"/>
      <c r="C732" s="35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2.75" x14ac:dyDescent="0.2">
      <c r="A733" s="2"/>
      <c r="B733" s="2"/>
      <c r="C733" s="35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2.75" x14ac:dyDescent="0.2">
      <c r="A734" s="2"/>
      <c r="B734" s="2"/>
      <c r="C734" s="35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2.75" x14ac:dyDescent="0.2">
      <c r="A735" s="2"/>
      <c r="B735" s="2"/>
      <c r="C735" s="35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2.75" x14ac:dyDescent="0.2">
      <c r="A736" s="2"/>
      <c r="B736" s="2"/>
      <c r="C736" s="35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2.75" x14ac:dyDescent="0.2">
      <c r="A737" s="2"/>
      <c r="B737" s="2"/>
      <c r="C737" s="35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2.75" x14ac:dyDescent="0.2">
      <c r="A738" s="2"/>
      <c r="B738" s="2"/>
      <c r="C738" s="35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2.75" x14ac:dyDescent="0.2">
      <c r="A739" s="2"/>
      <c r="B739" s="2"/>
      <c r="C739" s="35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2.75" x14ac:dyDescent="0.2">
      <c r="A740" s="2"/>
      <c r="B740" s="2"/>
      <c r="C740" s="35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2.75" x14ac:dyDescent="0.2">
      <c r="A741" s="2"/>
      <c r="B741" s="2"/>
      <c r="C741" s="35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2.75" x14ac:dyDescent="0.2">
      <c r="A742" s="2"/>
      <c r="B742" s="2"/>
      <c r="C742" s="35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2.75" x14ac:dyDescent="0.2">
      <c r="A743" s="2"/>
      <c r="B743" s="2"/>
      <c r="C743" s="35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2.75" x14ac:dyDescent="0.2">
      <c r="A744" s="2"/>
      <c r="B744" s="2"/>
      <c r="C744" s="35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2.75" x14ac:dyDescent="0.2">
      <c r="A745" s="2"/>
      <c r="B745" s="2"/>
      <c r="C745" s="35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2.75" x14ac:dyDescent="0.2">
      <c r="A746" s="2"/>
      <c r="B746" s="2"/>
      <c r="C746" s="35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2.75" x14ac:dyDescent="0.2">
      <c r="A747" s="2"/>
      <c r="B747" s="2"/>
      <c r="C747" s="35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2.75" x14ac:dyDescent="0.2">
      <c r="A748" s="2"/>
      <c r="B748" s="2"/>
      <c r="C748" s="35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2.75" x14ac:dyDescent="0.2">
      <c r="A749" s="2"/>
      <c r="B749" s="2"/>
      <c r="C749" s="35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2.75" x14ac:dyDescent="0.2">
      <c r="A750" s="2"/>
      <c r="B750" s="2"/>
      <c r="C750" s="35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2.75" x14ac:dyDescent="0.2">
      <c r="A751" s="2"/>
      <c r="B751" s="2"/>
      <c r="C751" s="35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2.75" x14ac:dyDescent="0.2">
      <c r="A752" s="2"/>
      <c r="B752" s="2"/>
      <c r="C752" s="35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2.75" x14ac:dyDescent="0.2">
      <c r="A753" s="2"/>
      <c r="B753" s="2"/>
      <c r="C753" s="35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2.75" x14ac:dyDescent="0.2">
      <c r="A754" s="2"/>
      <c r="B754" s="2"/>
      <c r="C754" s="35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2.75" x14ac:dyDescent="0.2">
      <c r="A755" s="2"/>
      <c r="B755" s="2"/>
      <c r="C755" s="35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2.75" x14ac:dyDescent="0.2">
      <c r="A756" s="2"/>
      <c r="B756" s="2"/>
      <c r="C756" s="35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2.75" x14ac:dyDescent="0.2">
      <c r="A757" s="2"/>
      <c r="B757" s="2"/>
      <c r="C757" s="35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2.75" x14ac:dyDescent="0.2">
      <c r="A758" s="2"/>
      <c r="B758" s="2"/>
      <c r="C758" s="35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2.75" x14ac:dyDescent="0.2">
      <c r="A759" s="2"/>
      <c r="B759" s="2"/>
      <c r="C759" s="35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2.75" x14ac:dyDescent="0.2">
      <c r="A760" s="2"/>
      <c r="B760" s="2"/>
      <c r="C760" s="35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2.75" x14ac:dyDescent="0.2">
      <c r="A761" s="2"/>
      <c r="B761" s="2"/>
      <c r="C761" s="35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2.75" x14ac:dyDescent="0.2">
      <c r="A762" s="2"/>
      <c r="B762" s="2"/>
      <c r="C762" s="35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2.75" x14ac:dyDescent="0.2">
      <c r="A763" s="2"/>
      <c r="B763" s="2"/>
      <c r="C763" s="35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2.75" x14ac:dyDescent="0.2">
      <c r="A764" s="2"/>
      <c r="B764" s="2"/>
      <c r="C764" s="35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2.75" x14ac:dyDescent="0.2">
      <c r="A765" s="2"/>
      <c r="B765" s="2"/>
      <c r="C765" s="35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2.75" x14ac:dyDescent="0.2">
      <c r="A766" s="2"/>
      <c r="B766" s="2"/>
      <c r="C766" s="35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2.75" x14ac:dyDescent="0.2">
      <c r="A767" s="2"/>
      <c r="B767" s="2"/>
      <c r="C767" s="35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2.75" x14ac:dyDescent="0.2">
      <c r="A768" s="2"/>
      <c r="B768" s="2"/>
      <c r="C768" s="35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2.75" x14ac:dyDescent="0.2">
      <c r="A769" s="2"/>
      <c r="B769" s="2"/>
      <c r="C769" s="35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2.75" x14ac:dyDescent="0.2">
      <c r="A770" s="2"/>
      <c r="B770" s="2"/>
      <c r="C770" s="35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2.75" x14ac:dyDescent="0.2">
      <c r="A771" s="2"/>
      <c r="B771" s="2"/>
      <c r="C771" s="35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2.75" x14ac:dyDescent="0.2">
      <c r="A772" s="2"/>
      <c r="B772" s="2"/>
      <c r="C772" s="35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2.75" x14ac:dyDescent="0.2">
      <c r="A773" s="2"/>
      <c r="B773" s="2"/>
      <c r="C773" s="35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2.75" x14ac:dyDescent="0.2">
      <c r="A774" s="2"/>
      <c r="B774" s="2"/>
      <c r="C774" s="35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2.75" x14ac:dyDescent="0.2">
      <c r="A775" s="2"/>
      <c r="B775" s="2"/>
      <c r="C775" s="35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2.75" x14ac:dyDescent="0.2">
      <c r="A776" s="2"/>
      <c r="B776" s="2"/>
      <c r="C776" s="35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2.75" x14ac:dyDescent="0.2">
      <c r="A777" s="2"/>
      <c r="B777" s="2"/>
      <c r="C777" s="35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2.75" x14ac:dyDescent="0.2">
      <c r="A778" s="2"/>
      <c r="B778" s="2"/>
      <c r="C778" s="35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2.75" x14ac:dyDescent="0.2">
      <c r="A779" s="2"/>
      <c r="B779" s="2"/>
      <c r="C779" s="35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2.75" x14ac:dyDescent="0.2">
      <c r="A780" s="2"/>
      <c r="B780" s="2"/>
      <c r="C780" s="35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2.75" x14ac:dyDescent="0.2">
      <c r="A781" s="2"/>
      <c r="B781" s="2"/>
      <c r="C781" s="35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2.75" x14ac:dyDescent="0.2">
      <c r="A782" s="2"/>
      <c r="B782" s="2"/>
      <c r="C782" s="35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2.75" x14ac:dyDescent="0.2">
      <c r="A783" s="2"/>
      <c r="B783" s="2"/>
      <c r="C783" s="35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2.75" x14ac:dyDescent="0.2">
      <c r="A784" s="2"/>
      <c r="B784" s="2"/>
      <c r="C784" s="35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2.75" x14ac:dyDescent="0.2">
      <c r="A785" s="2"/>
      <c r="B785" s="2"/>
      <c r="C785" s="35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2.75" x14ac:dyDescent="0.2">
      <c r="A786" s="2"/>
      <c r="B786" s="2"/>
      <c r="C786" s="35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2.75" x14ac:dyDescent="0.2">
      <c r="A787" s="2"/>
      <c r="B787" s="2"/>
      <c r="C787" s="35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2.75" x14ac:dyDescent="0.2">
      <c r="A788" s="2"/>
      <c r="B788" s="2"/>
      <c r="C788" s="35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2.75" x14ac:dyDescent="0.2">
      <c r="A789" s="2"/>
      <c r="B789" s="2"/>
      <c r="C789" s="35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2.75" x14ac:dyDescent="0.2">
      <c r="A790" s="2"/>
      <c r="B790" s="2"/>
      <c r="C790" s="35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2.75" x14ac:dyDescent="0.2">
      <c r="A791" s="2"/>
      <c r="B791" s="2"/>
      <c r="C791" s="35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2.75" x14ac:dyDescent="0.2">
      <c r="A792" s="2"/>
      <c r="B792" s="2"/>
      <c r="C792" s="35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2.75" x14ac:dyDescent="0.2">
      <c r="A793" s="2"/>
      <c r="B793" s="2"/>
      <c r="C793" s="35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2.75" x14ac:dyDescent="0.2">
      <c r="A794" s="2"/>
      <c r="B794" s="2"/>
      <c r="C794" s="35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2.75" x14ac:dyDescent="0.2">
      <c r="A795" s="2"/>
      <c r="B795" s="2"/>
      <c r="C795" s="35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2.75" x14ac:dyDescent="0.2">
      <c r="A796" s="2"/>
      <c r="B796" s="2"/>
      <c r="C796" s="35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2.75" x14ac:dyDescent="0.2">
      <c r="A797" s="2"/>
      <c r="B797" s="2"/>
      <c r="C797" s="35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2.75" x14ac:dyDescent="0.2">
      <c r="A798" s="2"/>
      <c r="B798" s="2"/>
      <c r="C798" s="35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2.75" x14ac:dyDescent="0.2">
      <c r="A799" s="2"/>
      <c r="B799" s="2"/>
      <c r="C799" s="35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2.75" x14ac:dyDescent="0.2">
      <c r="A800" s="2"/>
      <c r="B800" s="2"/>
      <c r="C800" s="35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2.75" x14ac:dyDescent="0.2">
      <c r="A801" s="2"/>
      <c r="B801" s="2"/>
      <c r="C801" s="35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2.75" x14ac:dyDescent="0.2">
      <c r="A802" s="2"/>
      <c r="B802" s="2"/>
      <c r="C802" s="35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2.75" x14ac:dyDescent="0.2">
      <c r="A803" s="2"/>
      <c r="B803" s="2"/>
      <c r="C803" s="35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2.75" x14ac:dyDescent="0.2">
      <c r="A804" s="2"/>
      <c r="B804" s="2"/>
      <c r="C804" s="35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2.75" x14ac:dyDescent="0.2">
      <c r="A805" s="2"/>
      <c r="B805" s="2"/>
      <c r="C805" s="35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2.75" x14ac:dyDescent="0.2">
      <c r="A806" s="2"/>
      <c r="B806" s="2"/>
      <c r="C806" s="35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2.75" x14ac:dyDescent="0.2">
      <c r="A807" s="2"/>
      <c r="B807" s="2"/>
      <c r="C807" s="35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2.75" x14ac:dyDescent="0.2">
      <c r="A808" s="2"/>
      <c r="B808" s="2"/>
      <c r="C808" s="35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2.75" x14ac:dyDescent="0.2">
      <c r="A809" s="2"/>
      <c r="B809" s="2"/>
      <c r="C809" s="35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2.75" x14ac:dyDescent="0.2">
      <c r="A810" s="2"/>
      <c r="B810" s="2"/>
      <c r="C810" s="35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2.75" x14ac:dyDescent="0.2">
      <c r="A811" s="2"/>
      <c r="B811" s="2"/>
      <c r="C811" s="35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2.75" x14ac:dyDescent="0.2">
      <c r="A812" s="2"/>
      <c r="B812" s="2"/>
      <c r="C812" s="35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2.75" x14ac:dyDescent="0.2">
      <c r="A813" s="2"/>
      <c r="B813" s="2"/>
      <c r="C813" s="35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2.75" x14ac:dyDescent="0.2">
      <c r="A814" s="2"/>
      <c r="B814" s="2"/>
      <c r="C814" s="35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2.75" x14ac:dyDescent="0.2">
      <c r="A815" s="2"/>
      <c r="B815" s="2"/>
      <c r="C815" s="35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2.75" x14ac:dyDescent="0.2">
      <c r="A816" s="2"/>
      <c r="B816" s="2"/>
      <c r="C816" s="35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2.75" x14ac:dyDescent="0.2">
      <c r="A817" s="2"/>
      <c r="B817" s="2"/>
      <c r="C817" s="35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2.75" x14ac:dyDescent="0.2">
      <c r="A818" s="2"/>
      <c r="B818" s="2"/>
      <c r="C818" s="35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2.75" x14ac:dyDescent="0.2">
      <c r="A819" s="2"/>
      <c r="B819" s="2"/>
      <c r="C819" s="35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2.75" x14ac:dyDescent="0.2">
      <c r="A820" s="2"/>
      <c r="B820" s="2"/>
      <c r="C820" s="35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2.75" x14ac:dyDescent="0.2">
      <c r="A821" s="2"/>
      <c r="B821" s="2"/>
      <c r="C821" s="35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2.75" x14ac:dyDescent="0.2">
      <c r="A822" s="2"/>
      <c r="B822" s="2"/>
      <c r="C822" s="35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2.75" x14ac:dyDescent="0.2">
      <c r="A823" s="2"/>
      <c r="B823" s="2"/>
      <c r="C823" s="35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2.75" x14ac:dyDescent="0.2">
      <c r="A824" s="2"/>
      <c r="B824" s="2"/>
      <c r="C824" s="35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2.75" x14ac:dyDescent="0.2">
      <c r="A825" s="2"/>
      <c r="B825" s="2"/>
      <c r="C825" s="35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2.75" x14ac:dyDescent="0.2">
      <c r="A826" s="2"/>
      <c r="B826" s="2"/>
      <c r="C826" s="35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2.75" x14ac:dyDescent="0.2">
      <c r="A827" s="2"/>
      <c r="B827" s="2"/>
      <c r="C827" s="35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2.75" x14ac:dyDescent="0.2">
      <c r="A828" s="2"/>
      <c r="B828" s="2"/>
      <c r="C828" s="35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2.75" x14ac:dyDescent="0.2">
      <c r="A829" s="2"/>
      <c r="B829" s="2"/>
      <c r="C829" s="35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2.75" x14ac:dyDescent="0.2">
      <c r="A830" s="2"/>
      <c r="B830" s="2"/>
      <c r="C830" s="35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2.75" x14ac:dyDescent="0.2">
      <c r="A831" s="2"/>
      <c r="B831" s="2"/>
      <c r="C831" s="35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2.75" x14ac:dyDescent="0.2">
      <c r="A832" s="2"/>
      <c r="B832" s="2"/>
      <c r="C832" s="35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2.75" x14ac:dyDescent="0.2">
      <c r="A833" s="2"/>
      <c r="B833" s="2"/>
      <c r="C833" s="35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2.75" x14ac:dyDescent="0.2">
      <c r="A834" s="2"/>
      <c r="B834" s="2"/>
      <c r="C834" s="35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2.75" x14ac:dyDescent="0.2">
      <c r="A835" s="2"/>
      <c r="B835" s="2"/>
      <c r="C835" s="35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2.75" x14ac:dyDescent="0.2">
      <c r="A836" s="2"/>
      <c r="B836" s="2"/>
      <c r="C836" s="35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2.75" x14ac:dyDescent="0.2">
      <c r="A837" s="2"/>
      <c r="B837" s="2"/>
      <c r="C837" s="35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2.75" x14ac:dyDescent="0.2">
      <c r="A838" s="2"/>
      <c r="B838" s="2"/>
      <c r="C838" s="35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2.75" x14ac:dyDescent="0.2">
      <c r="A839" s="2"/>
      <c r="B839" s="2"/>
      <c r="C839" s="35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2.75" x14ac:dyDescent="0.2">
      <c r="A840" s="2"/>
      <c r="B840" s="2"/>
      <c r="C840" s="35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2.75" x14ac:dyDescent="0.2">
      <c r="A841" s="2"/>
      <c r="B841" s="2"/>
      <c r="C841" s="35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2.75" x14ac:dyDescent="0.2">
      <c r="A842" s="2"/>
      <c r="B842" s="2"/>
      <c r="C842" s="35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2.75" x14ac:dyDescent="0.2">
      <c r="A843" s="2"/>
      <c r="B843" s="2"/>
      <c r="C843" s="35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2.75" x14ac:dyDescent="0.2">
      <c r="A844" s="2"/>
      <c r="B844" s="2"/>
      <c r="C844" s="35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2.75" x14ac:dyDescent="0.2">
      <c r="A845" s="2"/>
      <c r="B845" s="2"/>
      <c r="C845" s="35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2.75" x14ac:dyDescent="0.2">
      <c r="A846" s="2"/>
      <c r="B846" s="2"/>
      <c r="C846" s="35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2.75" x14ac:dyDescent="0.2">
      <c r="A847" s="2"/>
      <c r="B847" s="2"/>
      <c r="C847" s="35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2.75" x14ac:dyDescent="0.2">
      <c r="A848" s="2"/>
      <c r="B848" s="2"/>
      <c r="C848" s="35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2.75" x14ac:dyDescent="0.2">
      <c r="A849" s="2"/>
      <c r="B849" s="2"/>
      <c r="C849" s="35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2.75" x14ac:dyDescent="0.2">
      <c r="A850" s="2"/>
      <c r="B850" s="2"/>
      <c r="C850" s="35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2.75" x14ac:dyDescent="0.2">
      <c r="A851" s="2"/>
      <c r="B851" s="2"/>
      <c r="C851" s="35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2.75" x14ac:dyDescent="0.2">
      <c r="A852" s="2"/>
      <c r="B852" s="2"/>
      <c r="C852" s="35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2.75" x14ac:dyDescent="0.2">
      <c r="A853" s="2"/>
      <c r="B853" s="2"/>
      <c r="C853" s="35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2.75" x14ac:dyDescent="0.2">
      <c r="A854" s="2"/>
      <c r="B854" s="2"/>
      <c r="C854" s="35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2.75" x14ac:dyDescent="0.2">
      <c r="A855" s="2"/>
      <c r="B855" s="2"/>
      <c r="C855" s="35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2.75" x14ac:dyDescent="0.2">
      <c r="A856" s="2"/>
      <c r="B856" s="2"/>
      <c r="C856" s="35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2.75" x14ac:dyDescent="0.2">
      <c r="A857" s="2"/>
      <c r="B857" s="2"/>
      <c r="C857" s="35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2.75" x14ac:dyDescent="0.2">
      <c r="A858" s="2"/>
      <c r="B858" s="2"/>
      <c r="C858" s="35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2.75" x14ac:dyDescent="0.2">
      <c r="A859" s="2"/>
      <c r="B859" s="2"/>
      <c r="C859" s="35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2.75" x14ac:dyDescent="0.2">
      <c r="A860" s="2"/>
      <c r="B860" s="2"/>
      <c r="C860" s="35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2.75" x14ac:dyDescent="0.2">
      <c r="A861" s="2"/>
      <c r="B861" s="2"/>
      <c r="C861" s="35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2.75" x14ac:dyDescent="0.2">
      <c r="A862" s="2"/>
      <c r="B862" s="2"/>
      <c r="C862" s="35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2.75" x14ac:dyDescent="0.2">
      <c r="A863" s="2"/>
      <c r="B863" s="2"/>
      <c r="C863" s="35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2.75" x14ac:dyDescent="0.2">
      <c r="A864" s="2"/>
      <c r="B864" s="2"/>
      <c r="C864" s="35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2.75" x14ac:dyDescent="0.2">
      <c r="A865" s="2"/>
      <c r="B865" s="2"/>
      <c r="C865" s="35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2.75" x14ac:dyDescent="0.2">
      <c r="A866" s="2"/>
      <c r="B866" s="2"/>
      <c r="C866" s="35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2.75" x14ac:dyDescent="0.2">
      <c r="A867" s="2"/>
      <c r="B867" s="2"/>
      <c r="C867" s="35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2.75" x14ac:dyDescent="0.2">
      <c r="A868" s="2"/>
      <c r="B868" s="2"/>
      <c r="C868" s="35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2.75" x14ac:dyDescent="0.2">
      <c r="A869" s="2"/>
      <c r="B869" s="2"/>
      <c r="C869" s="35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2.75" x14ac:dyDescent="0.2">
      <c r="A870" s="2"/>
      <c r="B870" s="2"/>
      <c r="C870" s="35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2.75" x14ac:dyDescent="0.2">
      <c r="A871" s="2"/>
      <c r="B871" s="2"/>
      <c r="C871" s="35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2.75" x14ac:dyDescent="0.2">
      <c r="A872" s="2"/>
      <c r="B872" s="2"/>
      <c r="C872" s="35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2.75" x14ac:dyDescent="0.2">
      <c r="A873" s="2"/>
      <c r="B873" s="2"/>
      <c r="C873" s="35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2.75" x14ac:dyDescent="0.2">
      <c r="A874" s="2"/>
      <c r="B874" s="2"/>
      <c r="C874" s="35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2.75" x14ac:dyDescent="0.2">
      <c r="A875" s="2"/>
      <c r="B875" s="2"/>
      <c r="C875" s="35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2.75" x14ac:dyDescent="0.2">
      <c r="A876" s="2"/>
      <c r="B876" s="2"/>
      <c r="C876" s="35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2.75" x14ac:dyDescent="0.2">
      <c r="A877" s="2"/>
      <c r="B877" s="2"/>
      <c r="C877" s="35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2.75" x14ac:dyDescent="0.2">
      <c r="A878" s="2"/>
      <c r="B878" s="2"/>
      <c r="C878" s="35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2.75" x14ac:dyDescent="0.2">
      <c r="A879" s="2"/>
      <c r="B879" s="2"/>
      <c r="C879" s="35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2.75" x14ac:dyDescent="0.2">
      <c r="A880" s="2"/>
      <c r="B880" s="2"/>
      <c r="C880" s="35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2.75" x14ac:dyDescent="0.2">
      <c r="A881" s="2"/>
      <c r="B881" s="2"/>
      <c r="C881" s="35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2.75" x14ac:dyDescent="0.2">
      <c r="A882" s="2"/>
      <c r="B882" s="2"/>
      <c r="C882" s="35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2.75" x14ac:dyDescent="0.2">
      <c r="A883" s="2"/>
      <c r="B883" s="2"/>
      <c r="C883" s="35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2.75" x14ac:dyDescent="0.2">
      <c r="A884" s="2"/>
      <c r="B884" s="2"/>
      <c r="C884" s="35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2.75" x14ac:dyDescent="0.2">
      <c r="A885" s="2"/>
      <c r="B885" s="2"/>
      <c r="C885" s="35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2.75" x14ac:dyDescent="0.2">
      <c r="A886" s="2"/>
      <c r="B886" s="2"/>
      <c r="C886" s="35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2.75" x14ac:dyDescent="0.2">
      <c r="A887" s="2"/>
      <c r="B887" s="2"/>
      <c r="C887" s="35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2.75" x14ac:dyDescent="0.2">
      <c r="A888" s="2"/>
      <c r="B888" s="2"/>
      <c r="C888" s="35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2.75" x14ac:dyDescent="0.2">
      <c r="A889" s="2"/>
      <c r="B889" s="2"/>
      <c r="C889" s="35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2.75" x14ac:dyDescent="0.2">
      <c r="A890" s="2"/>
      <c r="B890" s="2"/>
      <c r="C890" s="35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2.75" x14ac:dyDescent="0.2">
      <c r="A891" s="2"/>
      <c r="B891" s="2"/>
      <c r="C891" s="35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2.75" x14ac:dyDescent="0.2">
      <c r="A892" s="2"/>
      <c r="B892" s="2"/>
      <c r="C892" s="35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2.75" x14ac:dyDescent="0.2">
      <c r="A893" s="2"/>
      <c r="B893" s="2"/>
      <c r="C893" s="35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2.75" x14ac:dyDescent="0.2">
      <c r="A894" s="2"/>
      <c r="B894" s="2"/>
      <c r="C894" s="35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2.75" x14ac:dyDescent="0.2">
      <c r="A895" s="2"/>
      <c r="B895" s="2"/>
      <c r="C895" s="35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2.75" x14ac:dyDescent="0.2">
      <c r="A896" s="2"/>
      <c r="B896" s="2"/>
      <c r="C896" s="35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2.75" x14ac:dyDescent="0.2">
      <c r="A897" s="2"/>
      <c r="B897" s="2"/>
      <c r="C897" s="35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2.75" x14ac:dyDescent="0.2">
      <c r="A898" s="2"/>
      <c r="B898" s="2"/>
      <c r="C898" s="35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2.75" x14ac:dyDescent="0.2">
      <c r="A899" s="2"/>
      <c r="B899" s="2"/>
      <c r="C899" s="35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2.75" x14ac:dyDescent="0.2">
      <c r="A900" s="2"/>
      <c r="B900" s="2"/>
      <c r="C900" s="35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2.75" x14ac:dyDescent="0.2">
      <c r="A901" s="2"/>
      <c r="B901" s="2"/>
      <c r="C901" s="35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2.75" x14ac:dyDescent="0.2">
      <c r="A902" s="2"/>
      <c r="B902" s="2"/>
      <c r="C902" s="35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2.75" x14ac:dyDescent="0.2">
      <c r="A903" s="2"/>
      <c r="B903" s="2"/>
      <c r="C903" s="35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2.75" x14ac:dyDescent="0.2">
      <c r="A904" s="2"/>
      <c r="B904" s="2"/>
      <c r="C904" s="35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2.75" x14ac:dyDescent="0.2">
      <c r="A905" s="2"/>
      <c r="B905" s="2"/>
      <c r="C905" s="35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2.75" x14ac:dyDescent="0.2">
      <c r="A906" s="2"/>
      <c r="B906" s="2"/>
      <c r="C906" s="35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2.75" x14ac:dyDescent="0.2">
      <c r="A907" s="2"/>
      <c r="B907" s="2"/>
      <c r="C907" s="35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2.75" x14ac:dyDescent="0.2">
      <c r="A908" s="2"/>
      <c r="B908" s="2"/>
      <c r="C908" s="35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2.75" x14ac:dyDescent="0.2">
      <c r="A909" s="2"/>
      <c r="B909" s="2"/>
      <c r="C909" s="35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2.75" x14ac:dyDescent="0.2">
      <c r="A910" s="2"/>
      <c r="B910" s="2"/>
      <c r="C910" s="35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2.75" x14ac:dyDescent="0.2">
      <c r="A911" s="2"/>
      <c r="B911" s="2"/>
      <c r="C911" s="35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2.75" x14ac:dyDescent="0.2">
      <c r="A912" s="2"/>
      <c r="B912" s="2"/>
      <c r="C912" s="35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2.75" x14ac:dyDescent="0.2">
      <c r="A913" s="2"/>
      <c r="B913" s="2"/>
      <c r="C913" s="35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2.75" x14ac:dyDescent="0.2">
      <c r="A914" s="2"/>
      <c r="B914" s="2"/>
      <c r="C914" s="35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2.75" x14ac:dyDescent="0.2">
      <c r="A915" s="2"/>
      <c r="B915" s="2"/>
      <c r="C915" s="35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2.75" x14ac:dyDescent="0.2">
      <c r="A916" s="2"/>
      <c r="B916" s="2"/>
      <c r="C916" s="35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2.75" x14ac:dyDescent="0.2">
      <c r="A917" s="2"/>
      <c r="B917" s="2"/>
      <c r="C917" s="35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2.75" x14ac:dyDescent="0.2">
      <c r="A918" s="2"/>
      <c r="B918" s="2"/>
      <c r="C918" s="35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2.75" x14ac:dyDescent="0.2">
      <c r="A919" s="2"/>
      <c r="B919" s="2"/>
      <c r="C919" s="35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2.75" x14ac:dyDescent="0.2">
      <c r="A920" s="2"/>
      <c r="B920" s="2"/>
      <c r="C920" s="35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2.75" x14ac:dyDescent="0.2">
      <c r="A921" s="2"/>
      <c r="B921" s="2"/>
      <c r="C921" s="35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2.75" x14ac:dyDescent="0.2">
      <c r="A922" s="2"/>
      <c r="B922" s="2"/>
      <c r="C922" s="35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2.75" x14ac:dyDescent="0.2">
      <c r="A923" s="2"/>
      <c r="B923" s="2"/>
      <c r="C923" s="35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2.75" x14ac:dyDescent="0.2">
      <c r="A924" s="2"/>
      <c r="B924" s="2"/>
      <c r="C924" s="35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2.75" x14ac:dyDescent="0.2">
      <c r="A925" s="2"/>
      <c r="B925" s="2"/>
      <c r="C925" s="35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2.75" x14ac:dyDescent="0.2">
      <c r="A926" s="2"/>
      <c r="B926" s="2"/>
      <c r="C926" s="35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2.75" x14ac:dyDescent="0.2">
      <c r="A927" s="2"/>
      <c r="B927" s="2"/>
      <c r="C927" s="35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2.75" x14ac:dyDescent="0.2">
      <c r="A928" s="2"/>
      <c r="B928" s="2"/>
      <c r="C928" s="35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2.75" x14ac:dyDescent="0.2">
      <c r="A929" s="2"/>
      <c r="B929" s="2"/>
      <c r="C929" s="35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2.75" x14ac:dyDescent="0.2">
      <c r="A930" s="2"/>
      <c r="B930" s="2"/>
      <c r="C930" s="35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2.75" x14ac:dyDescent="0.2">
      <c r="A931" s="2"/>
      <c r="B931" s="2"/>
      <c r="C931" s="35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2.75" x14ac:dyDescent="0.2">
      <c r="A932" s="2"/>
      <c r="B932" s="2"/>
      <c r="C932" s="35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2.75" x14ac:dyDescent="0.2">
      <c r="A933" s="2"/>
      <c r="B933" s="2"/>
      <c r="C933" s="35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2.75" x14ac:dyDescent="0.2">
      <c r="A934" s="2"/>
      <c r="B934" s="2"/>
      <c r="C934" s="35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2.75" x14ac:dyDescent="0.2">
      <c r="A935" s="2"/>
      <c r="B935" s="2"/>
      <c r="C935" s="35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2.75" x14ac:dyDescent="0.2">
      <c r="A936" s="2"/>
      <c r="B936" s="2"/>
      <c r="C936" s="35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</sheetData>
  <mergeCells count="24">
    <mergeCell ref="AA36:AD36"/>
    <mergeCell ref="AA37:AD39"/>
    <mergeCell ref="A48:Q49"/>
    <mergeCell ref="N37:Q39"/>
    <mergeCell ref="N36:Q36"/>
    <mergeCell ref="T36:W36"/>
    <mergeCell ref="T37:W39"/>
    <mergeCell ref="E37:G39"/>
    <mergeCell ref="I36:K36"/>
    <mergeCell ref="I37:K39"/>
    <mergeCell ref="Q50:Q51"/>
    <mergeCell ref="F50:J50"/>
    <mergeCell ref="K50:K51"/>
    <mergeCell ref="M50:M51"/>
    <mergeCell ref="N50:N51"/>
    <mergeCell ref="O50:O51"/>
    <mergeCell ref="P50:P51"/>
    <mergeCell ref="A4:H4"/>
    <mergeCell ref="A5:C5"/>
    <mergeCell ref="A50:A51"/>
    <mergeCell ref="D50:D51"/>
    <mergeCell ref="E50:E51"/>
    <mergeCell ref="C50:C51"/>
    <mergeCell ref="E36:G3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selection activeCell="A9" sqref="A9"/>
    </sheetView>
  </sheetViews>
  <sheetFormatPr defaultRowHeight="12.75" x14ac:dyDescent="0.2"/>
  <cols>
    <col min="1" max="1" width="19.42578125" bestFit="1" customWidth="1"/>
    <col min="2" max="2" width="37.7109375" bestFit="1" customWidth="1"/>
    <col min="3" max="3" width="14" bestFit="1" customWidth="1"/>
    <col min="4" max="4" width="12" bestFit="1" customWidth="1"/>
    <col min="5" max="5" width="21.5703125" bestFit="1" customWidth="1"/>
    <col min="6" max="6" width="23.28515625" customWidth="1"/>
  </cols>
  <sheetData>
    <row r="1" spans="1:6" ht="25.5" x14ac:dyDescent="0.2">
      <c r="A1" s="50" t="s">
        <v>57</v>
      </c>
      <c r="B1" s="50" t="s">
        <v>58</v>
      </c>
      <c r="C1" s="50" t="s">
        <v>59</v>
      </c>
      <c r="D1" s="50" t="s">
        <v>60</v>
      </c>
      <c r="E1" s="50" t="s">
        <v>67</v>
      </c>
      <c r="F1" s="55" t="s">
        <v>64</v>
      </c>
    </row>
    <row r="2" spans="1:6" x14ac:dyDescent="0.2">
      <c r="A2" s="51">
        <v>1</v>
      </c>
      <c r="B2" s="52" t="s">
        <v>62</v>
      </c>
      <c r="C2" s="53">
        <v>320</v>
      </c>
      <c r="D2" s="53">
        <v>302</v>
      </c>
      <c r="E2" s="53">
        <f>C2/32</f>
        <v>10</v>
      </c>
      <c r="F2" s="53">
        <f>E2/D2</f>
        <v>3.3112582781456956E-2</v>
      </c>
    </row>
    <row r="3" spans="1:6" x14ac:dyDescent="0.2">
      <c r="A3" s="51">
        <v>2</v>
      </c>
      <c r="B3" s="52" t="s">
        <v>63</v>
      </c>
      <c r="C3" s="53">
        <v>84</v>
      </c>
      <c r="D3" s="53">
        <v>80</v>
      </c>
      <c r="E3" s="53">
        <f>C3/8</f>
        <v>10.5</v>
      </c>
      <c r="F3" s="53">
        <f>E3/D3</f>
        <v>0.13125000000000001</v>
      </c>
    </row>
    <row r="4" spans="1:6" x14ac:dyDescent="0.2">
      <c r="A4" s="49"/>
      <c r="D4" s="54" t="s">
        <v>61</v>
      </c>
      <c r="E4" s="54">
        <f>SUM(E2:E3)</f>
        <v>20.5</v>
      </c>
    </row>
    <row r="6" spans="1:6" x14ac:dyDescent="0.2">
      <c r="E6" s="54" t="s">
        <v>4</v>
      </c>
      <c r="F6">
        <f>AVERAGE(F2:F3)</f>
        <v>8.2181291390728481E-2</v>
      </c>
    </row>
    <row r="7" spans="1:6" x14ac:dyDescent="0.2">
      <c r="E7" s="54" t="s">
        <v>54</v>
      </c>
      <c r="F7">
        <f>STDEV(F2:F3)</f>
        <v>6.9393633203365251E-2</v>
      </c>
    </row>
    <row r="8" spans="1:6" x14ac:dyDescent="0.2">
      <c r="E8" s="54" t="s">
        <v>49</v>
      </c>
      <c r="F8">
        <f>F6+(3*F7)</f>
        <v>0.29036219100082422</v>
      </c>
    </row>
    <row r="9" spans="1:6" x14ac:dyDescent="0.2">
      <c r="E9" s="54" t="s">
        <v>3</v>
      </c>
      <c r="F9" s="54">
        <f>F6-(3*F7)</f>
        <v>-0.12599960821936729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7"/>
  <sheetViews>
    <sheetView workbookViewId="0">
      <selection activeCell="G2" sqref="G2"/>
    </sheetView>
  </sheetViews>
  <sheetFormatPr defaultRowHeight="12.75" x14ac:dyDescent="0.2"/>
  <cols>
    <col min="3" max="3" width="13.85546875" customWidth="1"/>
    <col min="5" max="5" width="18.85546875" customWidth="1"/>
    <col min="6" max="6" width="22.140625" bestFit="1" customWidth="1"/>
    <col min="7" max="7" width="22.28515625" customWidth="1"/>
    <col min="8" max="8" width="18.140625" customWidth="1"/>
    <col min="9" max="9" width="4.5703125" customWidth="1"/>
    <col min="10" max="10" width="4.28515625" customWidth="1"/>
    <col min="11" max="11" width="32.140625" bestFit="1" customWidth="1"/>
  </cols>
  <sheetData>
    <row r="1" spans="1:22" x14ac:dyDescent="0.2">
      <c r="A1" s="79"/>
      <c r="B1" s="79"/>
      <c r="C1" s="79"/>
      <c r="D1" s="79"/>
      <c r="E1" s="253" t="s">
        <v>124</v>
      </c>
      <c r="F1" s="254"/>
      <c r="G1" s="254"/>
      <c r="H1" s="255"/>
      <c r="I1" s="56"/>
      <c r="J1" s="56"/>
      <c r="K1" s="80" t="s">
        <v>73</v>
      </c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</row>
    <row r="2" spans="1:22" ht="30.75" thickBot="1" x14ac:dyDescent="0.25">
      <c r="A2" s="79"/>
      <c r="B2" s="79"/>
      <c r="C2" s="79"/>
      <c r="D2" s="79"/>
      <c r="E2" s="81" t="s">
        <v>125</v>
      </c>
      <c r="F2" s="59" t="s">
        <v>126</v>
      </c>
      <c r="G2" s="59" t="s">
        <v>127</v>
      </c>
      <c r="H2" s="59" t="s">
        <v>128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</row>
    <row r="3" spans="1:22" ht="25.5" x14ac:dyDescent="0.25">
      <c r="A3" s="65" t="s">
        <v>83</v>
      </c>
      <c r="B3" s="66" t="s">
        <v>75</v>
      </c>
      <c r="C3" s="67" t="s">
        <v>84</v>
      </c>
      <c r="D3" s="66" t="s">
        <v>85</v>
      </c>
      <c r="E3" s="82">
        <v>-0.29419662191424856</v>
      </c>
      <c r="F3" s="82">
        <v>0.15</v>
      </c>
      <c r="G3" s="82">
        <v>0.49042904290429001</v>
      </c>
      <c r="H3" s="82">
        <v>0.13956734124214937</v>
      </c>
      <c r="I3" s="56"/>
      <c r="J3" s="56"/>
      <c r="K3" s="83" t="s">
        <v>79</v>
      </c>
      <c r="L3" s="83"/>
      <c r="M3" s="56"/>
      <c r="N3" s="56"/>
      <c r="O3" s="56"/>
      <c r="P3" s="56"/>
      <c r="Q3" s="56"/>
      <c r="R3" s="56"/>
      <c r="S3" s="56"/>
      <c r="T3" s="56"/>
      <c r="U3" s="56"/>
      <c r="V3" s="56"/>
    </row>
    <row r="4" spans="1:22" x14ac:dyDescent="0.2">
      <c r="A4" s="66" t="s">
        <v>101</v>
      </c>
      <c r="B4" s="66" t="s">
        <v>98</v>
      </c>
      <c r="C4" s="67" t="s">
        <v>92</v>
      </c>
      <c r="D4" s="67" t="s">
        <v>93</v>
      </c>
      <c r="E4" s="82">
        <v>-0.28653947780912725</v>
      </c>
      <c r="F4" s="82">
        <v>0.14005102040816331</v>
      </c>
      <c r="G4" s="82">
        <v>0.52993805918788717</v>
      </c>
      <c r="H4" s="82">
        <v>0.13090909090909089</v>
      </c>
      <c r="I4" s="56"/>
      <c r="J4" s="56"/>
      <c r="K4" s="56" t="s">
        <v>82</v>
      </c>
      <c r="L4" s="56">
        <v>0.97570899713093395</v>
      </c>
      <c r="M4" s="56"/>
      <c r="N4" s="56"/>
      <c r="O4" s="56"/>
      <c r="P4" s="56"/>
      <c r="Q4" s="56"/>
      <c r="R4" s="56"/>
      <c r="S4" s="56"/>
      <c r="T4" s="56"/>
      <c r="U4" s="56"/>
      <c r="V4" s="56"/>
    </row>
    <row r="5" spans="1:22" x14ac:dyDescent="0.2">
      <c r="A5" s="66" t="s">
        <v>90</v>
      </c>
      <c r="B5" s="66" t="s">
        <v>98</v>
      </c>
      <c r="C5" s="67" t="s">
        <v>99</v>
      </c>
      <c r="D5" s="66" t="s">
        <v>100</v>
      </c>
      <c r="E5" s="82">
        <v>-0.21783625730994152</v>
      </c>
      <c r="F5" s="82">
        <v>0.12954876273653565</v>
      </c>
      <c r="G5" s="82">
        <v>0.50980392156862742</v>
      </c>
      <c r="H5" s="82">
        <v>0.1111111111111111</v>
      </c>
      <c r="I5" s="56"/>
      <c r="J5" s="56"/>
      <c r="K5" s="56" t="s">
        <v>86</v>
      </c>
      <c r="L5" s="56">
        <v>0.95200804708225284</v>
      </c>
      <c r="M5" s="56"/>
      <c r="N5" s="56"/>
      <c r="O5" s="56"/>
      <c r="P5" s="56"/>
      <c r="Q5" s="56"/>
      <c r="R5" s="56"/>
      <c r="S5" s="56"/>
      <c r="T5" s="56"/>
      <c r="U5" s="56"/>
      <c r="V5" s="56"/>
    </row>
    <row r="6" spans="1:22" ht="13.5" thickBot="1" x14ac:dyDescent="0.25">
      <c r="A6" s="73" t="s">
        <v>101</v>
      </c>
      <c r="B6" s="73" t="s">
        <v>75</v>
      </c>
      <c r="C6" s="74" t="s">
        <v>103</v>
      </c>
      <c r="D6" s="73" t="s">
        <v>104</v>
      </c>
      <c r="E6" s="82">
        <v>-0.10050319334236504</v>
      </c>
      <c r="F6" s="82">
        <v>0.12</v>
      </c>
      <c r="G6" s="82">
        <v>0.49157303370786515</v>
      </c>
      <c r="H6" s="82">
        <v>9.0909090909090912E-2</v>
      </c>
      <c r="I6" s="56"/>
      <c r="J6" s="56"/>
      <c r="K6" s="80" t="s">
        <v>89</v>
      </c>
      <c r="L6" s="80">
        <v>0.92801207062337931</v>
      </c>
      <c r="M6" s="56"/>
      <c r="N6" s="56"/>
      <c r="O6" s="56"/>
      <c r="P6" s="56"/>
      <c r="Q6" s="56"/>
      <c r="R6" s="56"/>
      <c r="S6" s="56"/>
      <c r="T6" s="56"/>
      <c r="U6" s="56"/>
      <c r="V6" s="56"/>
    </row>
    <row r="7" spans="1:22" ht="13.5" thickBot="1" x14ac:dyDescent="0.25">
      <c r="A7" s="65" t="s">
        <v>83</v>
      </c>
      <c r="B7" s="66" t="s">
        <v>75</v>
      </c>
      <c r="C7" s="67" t="s">
        <v>87</v>
      </c>
      <c r="D7" s="67" t="s">
        <v>88</v>
      </c>
      <c r="E7" s="82">
        <v>-8.652831516004221E-2</v>
      </c>
      <c r="F7" s="82">
        <v>0.16</v>
      </c>
      <c r="G7" s="82">
        <v>0.55000000000000004</v>
      </c>
      <c r="H7" s="82">
        <v>0.04</v>
      </c>
      <c r="I7" s="56"/>
      <c r="J7" s="56"/>
      <c r="K7" s="56" t="s">
        <v>94</v>
      </c>
      <c r="L7" s="56">
        <v>6.6058116965958619E-2</v>
      </c>
      <c r="M7" s="56"/>
      <c r="N7" s="56"/>
      <c r="O7" s="56"/>
      <c r="P7" s="56"/>
      <c r="Q7" s="56"/>
      <c r="R7" s="56"/>
      <c r="S7" s="56"/>
      <c r="T7" s="56"/>
      <c r="U7" s="56"/>
      <c r="V7" s="56"/>
    </row>
    <row r="8" spans="1:22" ht="13.5" thickBot="1" x14ac:dyDescent="0.25">
      <c r="A8" s="84" t="s">
        <v>83</v>
      </c>
      <c r="B8" s="85" t="s">
        <v>75</v>
      </c>
      <c r="C8" s="62" t="s">
        <v>129</v>
      </c>
      <c r="D8" s="61" t="s">
        <v>130</v>
      </c>
      <c r="E8" s="82">
        <v>-7.2247706422018346E-2</v>
      </c>
      <c r="F8" s="82">
        <v>9.953606073386756E-2</v>
      </c>
      <c r="G8" s="82">
        <v>0.6035242290748899</v>
      </c>
      <c r="H8" s="82">
        <v>8.9686098654708529E-2</v>
      </c>
      <c r="I8" s="56"/>
      <c r="J8" s="56"/>
      <c r="K8" s="86" t="s">
        <v>97</v>
      </c>
      <c r="L8" s="86">
        <v>10</v>
      </c>
      <c r="M8" s="56"/>
      <c r="N8" s="56"/>
      <c r="O8" s="56"/>
      <c r="P8" s="56"/>
      <c r="Q8" s="56"/>
      <c r="R8" s="56"/>
      <c r="S8" s="56"/>
      <c r="T8" s="56"/>
      <c r="U8" s="56"/>
      <c r="V8" s="56"/>
    </row>
    <row r="9" spans="1:22" ht="13.5" thickBot="1" x14ac:dyDescent="0.25">
      <c r="A9" s="65" t="s">
        <v>74</v>
      </c>
      <c r="B9" s="66" t="s">
        <v>75</v>
      </c>
      <c r="C9" s="67" t="s">
        <v>80</v>
      </c>
      <c r="D9" s="68" t="s">
        <v>81</v>
      </c>
      <c r="E9" s="82">
        <v>0.17008196721311475</v>
      </c>
      <c r="F9" s="82">
        <v>8.9795918367346933E-2</v>
      </c>
      <c r="G9" s="82">
        <v>0.44800000000000001</v>
      </c>
      <c r="H9" s="82">
        <v>0.1</v>
      </c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</row>
    <row r="10" spans="1:22" ht="13.5" thickBot="1" x14ac:dyDescent="0.25">
      <c r="A10" s="60" t="s">
        <v>74</v>
      </c>
      <c r="B10" s="61" t="s">
        <v>75</v>
      </c>
      <c r="C10" s="62" t="s">
        <v>76</v>
      </c>
      <c r="D10" s="63" t="s">
        <v>77</v>
      </c>
      <c r="E10" s="82">
        <v>0.2828142857142858</v>
      </c>
      <c r="F10" s="82">
        <v>7.9989566578272386E-2</v>
      </c>
      <c r="G10" s="82">
        <v>0.34705882352941175</v>
      </c>
      <c r="H10" s="82">
        <v>7.1428571428571425E-2</v>
      </c>
      <c r="I10" s="56"/>
      <c r="J10" s="56"/>
      <c r="K10" s="56" t="s">
        <v>102</v>
      </c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</row>
    <row r="11" spans="1:22" ht="15" x14ac:dyDescent="0.25">
      <c r="A11" s="65" t="s">
        <v>74</v>
      </c>
      <c r="B11" s="66" t="s">
        <v>75</v>
      </c>
      <c r="C11" s="67" t="s">
        <v>78</v>
      </c>
      <c r="D11" s="68" t="s">
        <v>56</v>
      </c>
      <c r="E11" s="82">
        <v>0.29269731489015455</v>
      </c>
      <c r="F11" s="82">
        <v>7.1143501648446988E-2</v>
      </c>
      <c r="G11" s="82">
        <v>0.449438202247191</v>
      </c>
      <c r="H11" s="82">
        <v>7.6923076923076927E-2</v>
      </c>
      <c r="I11" s="56"/>
      <c r="J11" s="56"/>
      <c r="K11" s="87"/>
      <c r="L11" s="87" t="s">
        <v>105</v>
      </c>
      <c r="M11" s="87" t="s">
        <v>106</v>
      </c>
      <c r="N11" s="87" t="s">
        <v>107</v>
      </c>
      <c r="O11" s="87" t="s">
        <v>108</v>
      </c>
      <c r="P11" s="87" t="s">
        <v>109</v>
      </c>
      <c r="Q11" s="56"/>
      <c r="R11" s="56"/>
      <c r="S11" s="56"/>
      <c r="T11" s="56"/>
      <c r="U11" s="56"/>
      <c r="V11" s="56"/>
    </row>
    <row r="12" spans="1:22" x14ac:dyDescent="0.2">
      <c r="A12" s="65" t="s">
        <v>74</v>
      </c>
      <c r="B12" s="66" t="s">
        <v>75</v>
      </c>
      <c r="C12" s="67" t="s">
        <v>131</v>
      </c>
      <c r="D12" s="68" t="s">
        <v>132</v>
      </c>
      <c r="E12" s="82">
        <v>0.33481524670213542</v>
      </c>
      <c r="F12" s="82">
        <v>5.0194720900043274E-2</v>
      </c>
      <c r="G12" s="82">
        <v>0.43902439024390244</v>
      </c>
      <c r="H12" s="82">
        <v>0.04</v>
      </c>
      <c r="I12" s="56"/>
      <c r="J12" s="56"/>
      <c r="K12" s="56" t="s">
        <v>110</v>
      </c>
      <c r="L12" s="56">
        <v>3</v>
      </c>
      <c r="M12" s="56">
        <v>0.51936876348892957</v>
      </c>
      <c r="N12" s="56">
        <v>0.17312292116297653</v>
      </c>
      <c r="O12" s="56">
        <v>39.673653152389456</v>
      </c>
      <c r="P12" s="56">
        <v>2.3740408179703074E-4</v>
      </c>
      <c r="Q12" s="56"/>
      <c r="R12" s="56"/>
      <c r="S12" s="56"/>
      <c r="T12" s="56"/>
      <c r="U12" s="56"/>
      <c r="V12" s="56"/>
    </row>
    <row r="13" spans="1:22" x14ac:dyDescent="0.2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 t="s">
        <v>111</v>
      </c>
      <c r="L13" s="56">
        <v>6</v>
      </c>
      <c r="M13" s="56">
        <v>2.618204890252962E-2</v>
      </c>
      <c r="N13" s="56">
        <v>4.36367481708827E-3</v>
      </c>
      <c r="O13" s="56"/>
      <c r="P13" s="56"/>
      <c r="Q13" s="56"/>
      <c r="R13" s="56"/>
      <c r="S13" s="56"/>
      <c r="T13" s="56"/>
      <c r="U13" s="56"/>
      <c r="V13" s="56"/>
    </row>
    <row r="14" spans="1:22" ht="13.5" thickBot="1" x14ac:dyDescent="0.2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86" t="s">
        <v>112</v>
      </c>
      <c r="L14" s="86">
        <v>9</v>
      </c>
      <c r="M14" s="86">
        <v>0.54555081239145919</v>
      </c>
      <c r="N14" s="86"/>
      <c r="O14" s="86"/>
      <c r="P14" s="86"/>
      <c r="Q14" s="56"/>
      <c r="R14" s="56"/>
      <c r="S14" s="56"/>
      <c r="T14" s="56"/>
      <c r="U14" s="56"/>
      <c r="V14" s="56"/>
    </row>
    <row r="15" spans="1:22" ht="13.5" thickBot="1" x14ac:dyDescent="0.2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</row>
    <row r="16" spans="1:22" ht="15" x14ac:dyDescent="0.25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77"/>
      <c r="L16" s="77" t="s">
        <v>113</v>
      </c>
      <c r="M16" s="87" t="s">
        <v>94</v>
      </c>
      <c r="N16" s="87" t="s">
        <v>114</v>
      </c>
      <c r="O16" s="77" t="s">
        <v>115</v>
      </c>
      <c r="P16" s="87" t="s">
        <v>116</v>
      </c>
      <c r="Q16" s="87" t="s">
        <v>117</v>
      </c>
      <c r="R16" s="87" t="s">
        <v>118</v>
      </c>
      <c r="S16" s="87" t="s">
        <v>119</v>
      </c>
      <c r="T16" s="56"/>
      <c r="U16" s="56"/>
      <c r="V16" s="56"/>
    </row>
    <row r="17" spans="1:22" x14ac:dyDescent="0.2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80" t="s">
        <v>120</v>
      </c>
      <c r="L17" s="80">
        <v>1.1334927370360199</v>
      </c>
      <c r="M17" s="56">
        <v>0.16085103365665873</v>
      </c>
      <c r="N17" s="56">
        <v>7.0468477029218048</v>
      </c>
      <c r="O17" s="80">
        <v>4.0842210853736299E-4</v>
      </c>
      <c r="P17" s="56">
        <v>0.73990443651262683</v>
      </c>
      <c r="Q17" s="56">
        <v>1.5270810375594202</v>
      </c>
      <c r="R17" s="56">
        <v>0.73990443651262683</v>
      </c>
      <c r="S17" s="56">
        <v>1.5270810375594202</v>
      </c>
      <c r="T17" s="56"/>
      <c r="U17" s="56"/>
      <c r="V17" s="56"/>
    </row>
    <row r="18" spans="1:22" x14ac:dyDescent="0.2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80" t="s">
        <v>126</v>
      </c>
      <c r="L18" s="80">
        <v>-3.8769231339960122</v>
      </c>
      <c r="M18" s="56">
        <v>0.80693938667052023</v>
      </c>
      <c r="N18" s="56">
        <v>-4.8044787477686857</v>
      </c>
      <c r="O18" s="80">
        <v>2.9870371042127076E-3</v>
      </c>
      <c r="P18" s="56">
        <v>-5.8514326823957612</v>
      </c>
      <c r="Q18" s="56">
        <v>-1.9024135855962632</v>
      </c>
      <c r="R18" s="56">
        <v>-5.8514326823957612</v>
      </c>
      <c r="S18" s="56">
        <v>-1.9024135855962632</v>
      </c>
      <c r="T18" s="56"/>
      <c r="U18" s="56"/>
      <c r="V18" s="56"/>
    </row>
    <row r="19" spans="1:22" x14ac:dyDescent="0.2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80" t="s">
        <v>127</v>
      </c>
      <c r="L19" s="80">
        <v>-0.96775609822380326</v>
      </c>
      <c r="M19" s="56">
        <v>0.38051211880328634</v>
      </c>
      <c r="N19" s="56">
        <v>-2.5432990183529607</v>
      </c>
      <c r="O19" s="80">
        <v>4.3885238930679527E-2</v>
      </c>
      <c r="P19" s="56">
        <v>-1.8988357112278473</v>
      </c>
      <c r="Q19" s="56">
        <v>-3.6676485219759303E-2</v>
      </c>
      <c r="R19" s="56">
        <v>-1.8988357112278473</v>
      </c>
      <c r="S19" s="56">
        <v>-3.6676485219759303E-2</v>
      </c>
      <c r="T19" s="56"/>
      <c r="U19" s="56"/>
      <c r="V19" s="56"/>
    </row>
    <row r="20" spans="1:22" ht="13.5" thickBot="1" x14ac:dyDescent="0.25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88" t="s">
        <v>128</v>
      </c>
      <c r="L20" s="88">
        <v>-2.6763641436533949</v>
      </c>
      <c r="M20" s="86">
        <v>0.73540894087681974</v>
      </c>
      <c r="N20" s="86">
        <v>-3.6392869258053842</v>
      </c>
      <c r="O20" s="88">
        <v>1.0844118158600818E-2</v>
      </c>
      <c r="P20" s="86">
        <v>-4.4758449965228557</v>
      </c>
      <c r="Q20" s="86">
        <v>-0.87688329078393434</v>
      </c>
      <c r="R20" s="86">
        <v>-4.4758449965228557</v>
      </c>
      <c r="S20" s="86">
        <v>-0.87688329078393434</v>
      </c>
      <c r="T20" s="56"/>
      <c r="U20" s="56"/>
      <c r="V20" s="56"/>
    </row>
    <row r="21" spans="1:22" x14ac:dyDescent="0.2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</row>
    <row r="22" spans="1:22" x14ac:dyDescent="0.2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89" t="s">
        <v>133</v>
      </c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</row>
    <row r="23" spans="1:22" x14ac:dyDescent="0.2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</row>
    <row r="24" spans="1:22" x14ac:dyDescent="0.2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</row>
    <row r="25" spans="1:22" x14ac:dyDescent="0.2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</row>
    <row r="26" spans="1:22" x14ac:dyDescent="0.2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</row>
    <row r="27" spans="1:22" x14ac:dyDescent="0.2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</row>
    <row r="28" spans="1:22" x14ac:dyDescent="0.2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</row>
    <row r="29" spans="1:22" x14ac:dyDescent="0.2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</row>
    <row r="30" spans="1:22" x14ac:dyDescent="0.2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</row>
    <row r="31" spans="1:22" x14ac:dyDescent="0.2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</row>
    <row r="32" spans="1:22" x14ac:dyDescent="0.2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</row>
    <row r="33" spans="1:22" x14ac:dyDescent="0.2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</row>
    <row r="34" spans="1:22" x14ac:dyDescent="0.2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</row>
    <row r="35" spans="1:22" x14ac:dyDescent="0.2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</row>
    <row r="36" spans="1:22" x14ac:dyDescent="0.2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</row>
    <row r="37" spans="1:22" x14ac:dyDescent="0.2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</row>
  </sheetData>
  <mergeCells count="1">
    <mergeCell ref="E1:H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2"/>
  <sheetViews>
    <sheetView workbookViewId="0">
      <selection activeCell="F9" sqref="F9"/>
    </sheetView>
  </sheetViews>
  <sheetFormatPr defaultRowHeight="12.75" x14ac:dyDescent="0.2"/>
  <cols>
    <col min="1" max="2" width="9.140625" style="56"/>
    <col min="3" max="3" width="13.85546875" style="56" customWidth="1"/>
    <col min="4" max="4" width="9.140625" style="56"/>
    <col min="5" max="5" width="18.85546875" style="56" customWidth="1"/>
    <col min="6" max="6" width="26.85546875" style="56" customWidth="1"/>
    <col min="7" max="7" width="34.7109375" style="56" customWidth="1"/>
    <col min="8" max="8" width="4.5703125" style="57" customWidth="1"/>
    <col min="9" max="9" width="23.42578125" style="56" bestFit="1" customWidth="1"/>
    <col min="10" max="10" width="12.7109375" style="56" bestFit="1" customWidth="1"/>
    <col min="11" max="11" width="14.5703125" style="56" bestFit="1" customWidth="1"/>
    <col min="12" max="12" width="12.7109375" style="56" bestFit="1" customWidth="1"/>
    <col min="13" max="13" width="12" style="56" bestFit="1" customWidth="1"/>
    <col min="14" max="14" width="13.42578125" style="56" bestFit="1" customWidth="1"/>
    <col min="15" max="17" width="12.7109375" style="56" bestFit="1" customWidth="1"/>
    <col min="18" max="16384" width="9.140625" style="56"/>
  </cols>
  <sheetData>
    <row r="1" spans="1:17" x14ac:dyDescent="0.2">
      <c r="E1" s="256" t="s">
        <v>70</v>
      </c>
      <c r="F1" s="256"/>
      <c r="G1" s="256"/>
    </row>
    <row r="2" spans="1:17" ht="60.75" thickBot="1" x14ac:dyDescent="0.25">
      <c r="E2" s="58" t="s">
        <v>48</v>
      </c>
      <c r="F2" s="59" t="s">
        <v>71</v>
      </c>
      <c r="G2" s="59" t="s">
        <v>72</v>
      </c>
      <c r="I2" s="56" t="s">
        <v>73</v>
      </c>
    </row>
    <row r="3" spans="1:17" ht="13.5" thickBot="1" x14ac:dyDescent="0.25">
      <c r="A3" s="60" t="s">
        <v>74</v>
      </c>
      <c r="B3" s="61" t="s">
        <v>75</v>
      </c>
      <c r="C3" s="62" t="s">
        <v>76</v>
      </c>
      <c r="D3" s="63" t="s">
        <v>77</v>
      </c>
      <c r="E3" s="64">
        <v>2.0936E-2</v>
      </c>
      <c r="F3" s="64">
        <v>1.4</v>
      </c>
      <c r="G3" s="64">
        <v>6.3586000000000004E-2</v>
      </c>
    </row>
    <row r="4" spans="1:17" ht="15" x14ac:dyDescent="0.25">
      <c r="A4" s="65" t="s">
        <v>74</v>
      </c>
      <c r="B4" s="66" t="s">
        <v>75</v>
      </c>
      <c r="C4" s="67" t="s">
        <v>78</v>
      </c>
      <c r="D4" s="68" t="s">
        <v>56</v>
      </c>
      <c r="E4" s="64">
        <v>4.9410999999999997E-2</v>
      </c>
      <c r="F4" s="64">
        <v>1</v>
      </c>
      <c r="G4" s="64">
        <v>9.4420000000000007E-3</v>
      </c>
      <c r="I4" s="69" t="s">
        <v>79</v>
      </c>
      <c r="J4" s="69"/>
    </row>
    <row r="5" spans="1:17" x14ac:dyDescent="0.2">
      <c r="A5" s="65" t="s">
        <v>74</v>
      </c>
      <c r="B5" s="66" t="s">
        <v>75</v>
      </c>
      <c r="C5" s="67" t="s">
        <v>80</v>
      </c>
      <c r="D5" s="68" t="s">
        <v>81</v>
      </c>
      <c r="E5" s="64">
        <v>4.5533999999999998E-2</v>
      </c>
      <c r="F5" s="64">
        <v>1</v>
      </c>
      <c r="G5" s="64">
        <v>2.2766999999999999E-2</v>
      </c>
      <c r="I5" s="70" t="s">
        <v>82</v>
      </c>
      <c r="J5" s="70">
        <v>0.928370852689829</v>
      </c>
    </row>
    <row r="6" spans="1:17" ht="25.5" x14ac:dyDescent="0.2">
      <c r="A6" s="65" t="s">
        <v>83</v>
      </c>
      <c r="B6" s="66" t="s">
        <v>75</v>
      </c>
      <c r="C6" s="67" t="s">
        <v>84</v>
      </c>
      <c r="D6" s="66" t="s">
        <v>85</v>
      </c>
      <c r="E6" s="64">
        <v>8.8359999999999994E-2</v>
      </c>
      <c r="F6" s="64">
        <v>0.5</v>
      </c>
      <c r="G6" s="64">
        <v>1.5543E-2</v>
      </c>
      <c r="I6" s="70" t="s">
        <v>86</v>
      </c>
      <c r="J6" s="70">
        <v>0.86187244012404007</v>
      </c>
    </row>
    <row r="7" spans="1:17" x14ac:dyDescent="0.2">
      <c r="A7" s="65" t="s">
        <v>83</v>
      </c>
      <c r="B7" s="66" t="s">
        <v>75</v>
      </c>
      <c r="C7" s="67" t="s">
        <v>87</v>
      </c>
      <c r="D7" s="67" t="s">
        <v>88</v>
      </c>
      <c r="E7" s="64">
        <v>9.7420000000000007E-2</v>
      </c>
      <c r="F7" s="64">
        <v>0.71428599999999998</v>
      </c>
      <c r="G7" s="64">
        <v>2.1756000000000001E-2</v>
      </c>
      <c r="I7" s="71" t="s">
        <v>89</v>
      </c>
      <c r="J7" s="71">
        <v>0.82240742301662295</v>
      </c>
    </row>
    <row r="8" spans="1:17" x14ac:dyDescent="0.2">
      <c r="A8" s="66" t="s">
        <v>90</v>
      </c>
      <c r="B8" s="66" t="s">
        <v>91</v>
      </c>
      <c r="C8" s="67" t="s">
        <v>92</v>
      </c>
      <c r="D8" s="67" t="s">
        <v>93</v>
      </c>
      <c r="E8" s="64">
        <v>7.5319999999999996E-3</v>
      </c>
      <c r="F8" s="64">
        <v>1.3333330000000001</v>
      </c>
      <c r="G8" s="64">
        <v>6.4159999999999995E-2</v>
      </c>
      <c r="I8" s="70" t="s">
        <v>94</v>
      </c>
      <c r="J8" s="70">
        <v>1.4190445282009589E-2</v>
      </c>
    </row>
    <row r="9" spans="1:17" ht="13.5" thickBot="1" x14ac:dyDescent="0.25">
      <c r="A9" s="66" t="s">
        <v>90</v>
      </c>
      <c r="B9" s="66" t="s">
        <v>91</v>
      </c>
      <c r="C9" s="67" t="s">
        <v>95</v>
      </c>
      <c r="D9" s="67" t="s">
        <v>96</v>
      </c>
      <c r="E9" s="64">
        <v>5.2550000000000001E-3</v>
      </c>
      <c r="F9" s="64">
        <v>0.95</v>
      </c>
      <c r="G9" s="64">
        <v>8.7484999999999993E-2</v>
      </c>
      <c r="I9" s="72" t="s">
        <v>97</v>
      </c>
      <c r="J9" s="72">
        <v>10</v>
      </c>
    </row>
    <row r="10" spans="1:17" x14ac:dyDescent="0.2">
      <c r="A10" s="66" t="s">
        <v>90</v>
      </c>
      <c r="B10" s="66" t="s">
        <v>98</v>
      </c>
      <c r="C10" s="67" t="s">
        <v>99</v>
      </c>
      <c r="D10" s="66" t="s">
        <v>100</v>
      </c>
      <c r="E10" s="64">
        <v>7.5701000000000004E-2</v>
      </c>
      <c r="F10" s="64">
        <v>0.71428599999999998</v>
      </c>
      <c r="G10" s="64">
        <v>2.5364500000000002E-2</v>
      </c>
    </row>
    <row r="11" spans="1:17" ht="13.5" thickBot="1" x14ac:dyDescent="0.25">
      <c r="A11" s="66" t="s">
        <v>101</v>
      </c>
      <c r="B11" s="66" t="s">
        <v>98</v>
      </c>
      <c r="C11" s="67" t="s">
        <v>92</v>
      </c>
      <c r="D11" s="67" t="s">
        <v>93</v>
      </c>
      <c r="E11" s="64">
        <v>1.2767000000000001E-2</v>
      </c>
      <c r="F11" s="64">
        <v>1</v>
      </c>
      <c r="G11" s="64">
        <v>7.4311000000000002E-2</v>
      </c>
      <c r="I11" s="56" t="s">
        <v>102</v>
      </c>
    </row>
    <row r="12" spans="1:17" ht="15" x14ac:dyDescent="0.25">
      <c r="A12" s="66" t="s">
        <v>101</v>
      </c>
      <c r="B12" s="66" t="s">
        <v>75</v>
      </c>
      <c r="C12" s="67" t="s">
        <v>103</v>
      </c>
      <c r="D12" s="66" t="s">
        <v>104</v>
      </c>
      <c r="E12" s="64">
        <v>4.088E-2</v>
      </c>
      <c r="F12" s="64">
        <v>1.1000000000000001</v>
      </c>
      <c r="G12" s="64">
        <v>4.5758E-2</v>
      </c>
      <c r="I12" s="75"/>
      <c r="J12" s="75" t="s">
        <v>105</v>
      </c>
      <c r="K12" s="75" t="s">
        <v>106</v>
      </c>
      <c r="L12" s="75" t="s">
        <v>107</v>
      </c>
      <c r="M12" s="75" t="s">
        <v>108</v>
      </c>
      <c r="N12" s="75" t="s">
        <v>109</v>
      </c>
    </row>
    <row r="13" spans="1:17" s="76" customFormat="1" x14ac:dyDescent="0.2">
      <c r="A13" s="133"/>
      <c r="B13" s="133"/>
      <c r="C13" s="133"/>
      <c r="D13" s="133"/>
      <c r="E13" s="134"/>
      <c r="F13" s="134"/>
      <c r="G13" s="134"/>
      <c r="H13" s="57"/>
      <c r="I13" s="70" t="s">
        <v>110</v>
      </c>
      <c r="J13" s="70">
        <v>2</v>
      </c>
      <c r="K13" s="70">
        <v>8.795342189288043E-3</v>
      </c>
      <c r="L13" s="70">
        <v>4.3976710946440215E-3</v>
      </c>
      <c r="M13" s="70">
        <v>21.838896909082003</v>
      </c>
      <c r="N13" s="70">
        <v>9.7944756105848791E-4</v>
      </c>
      <c r="O13" s="56"/>
      <c r="P13" s="56"/>
      <c r="Q13" s="56"/>
    </row>
    <row r="14" spans="1:17" s="76" customFormat="1" x14ac:dyDescent="0.2">
      <c r="A14" s="133"/>
      <c r="B14" s="133"/>
      <c r="C14" s="133"/>
      <c r="D14" s="133"/>
      <c r="E14" s="134"/>
      <c r="F14" s="134"/>
      <c r="G14" s="134"/>
      <c r="H14" s="57"/>
      <c r="I14" s="70" t="s">
        <v>111</v>
      </c>
      <c r="J14" s="70">
        <v>7</v>
      </c>
      <c r="K14" s="70">
        <v>1.4095811611119576E-3</v>
      </c>
      <c r="L14" s="70">
        <v>2.0136873730170821E-4</v>
      </c>
      <c r="M14" s="70"/>
      <c r="N14" s="70"/>
      <c r="O14" s="56"/>
      <c r="P14" s="56"/>
      <c r="Q14" s="56"/>
    </row>
    <row r="15" spans="1:17" s="76" customFormat="1" ht="13.5" thickBot="1" x14ac:dyDescent="0.25">
      <c r="A15" s="133"/>
      <c r="B15" s="133"/>
      <c r="C15" s="133"/>
      <c r="D15" s="133"/>
      <c r="E15" s="134"/>
      <c r="F15" s="134"/>
      <c r="G15" s="134"/>
      <c r="H15" s="57"/>
      <c r="I15" s="72" t="s">
        <v>112</v>
      </c>
      <c r="J15" s="72">
        <v>9</v>
      </c>
      <c r="K15" s="72">
        <v>1.02049233504E-2</v>
      </c>
      <c r="L15" s="72"/>
      <c r="M15" s="72"/>
      <c r="N15" s="72"/>
      <c r="O15" s="56"/>
      <c r="P15" s="56"/>
      <c r="Q15" s="56"/>
    </row>
    <row r="16" spans="1:17" ht="13.5" thickBot="1" x14ac:dyDescent="0.25"/>
    <row r="17" spans="9:17" s="56" customFormat="1" ht="15" x14ac:dyDescent="0.25">
      <c r="I17" s="77"/>
      <c r="J17" s="77" t="s">
        <v>113</v>
      </c>
      <c r="K17" s="75" t="s">
        <v>94</v>
      </c>
      <c r="L17" s="75" t="s">
        <v>114</v>
      </c>
      <c r="M17" s="77" t="s">
        <v>115</v>
      </c>
      <c r="N17" s="75" t="s">
        <v>116</v>
      </c>
      <c r="O17" s="75" t="s">
        <v>117</v>
      </c>
      <c r="P17" s="75" t="s">
        <v>118</v>
      </c>
      <c r="Q17" s="75" t="s">
        <v>119</v>
      </c>
    </row>
    <row r="18" spans="9:17" s="56" customFormat="1" x14ac:dyDescent="0.2">
      <c r="I18" s="71" t="s">
        <v>120</v>
      </c>
      <c r="J18" s="71">
        <v>0.12992760583717441</v>
      </c>
      <c r="K18" s="70">
        <v>1.7347168987226411E-2</v>
      </c>
      <c r="L18" s="70">
        <v>7.4898449385514496</v>
      </c>
      <c r="M18" s="71">
        <v>1.3848254332592884E-4</v>
      </c>
      <c r="N18" s="70">
        <v>8.8908069353500596E-2</v>
      </c>
      <c r="O18" s="70">
        <v>0.17094714232084823</v>
      </c>
      <c r="P18" s="70">
        <v>8.8908069353500596E-2</v>
      </c>
      <c r="Q18" s="70">
        <v>0.17094714232084823</v>
      </c>
    </row>
    <row r="19" spans="9:17" s="56" customFormat="1" x14ac:dyDescent="0.2">
      <c r="I19" s="71" t="s">
        <v>121</v>
      </c>
      <c r="J19" s="71">
        <v>-5.6410158507608013E-2</v>
      </c>
      <c r="K19" s="70">
        <v>2.0546488876966477E-2</v>
      </c>
      <c r="L19" s="70">
        <v>-2.7454889662849546</v>
      </c>
      <c r="M19" s="71">
        <v>2.8690048027760647E-2</v>
      </c>
      <c r="N19" s="70">
        <v>-0.10499488439116435</v>
      </c>
      <c r="O19" s="70">
        <v>-7.8254326240516786E-3</v>
      </c>
      <c r="P19" s="70">
        <v>-0.10499488439116435</v>
      </c>
      <c r="Q19" s="70">
        <v>-7.8254326240516786E-3</v>
      </c>
    </row>
    <row r="20" spans="9:17" s="56" customFormat="1" ht="13.5" thickBot="1" x14ac:dyDescent="0.25">
      <c r="I20" s="78" t="s">
        <v>122</v>
      </c>
      <c r="J20" s="78">
        <v>-0.71513162257213903</v>
      </c>
      <c r="K20" s="72">
        <v>0.20539949072240191</v>
      </c>
      <c r="L20" s="72">
        <v>-3.4816621017753242</v>
      </c>
      <c r="M20" s="78">
        <v>1.0243252541031318E-2</v>
      </c>
      <c r="N20" s="72">
        <v>-1.2008242395991378</v>
      </c>
      <c r="O20" s="72">
        <v>-0.22943900554514024</v>
      </c>
      <c r="P20" s="72">
        <v>-1.2008242395991378</v>
      </c>
      <c r="Q20" s="72">
        <v>-0.22943900554514024</v>
      </c>
    </row>
    <row r="22" spans="9:17" s="56" customFormat="1" x14ac:dyDescent="0.2">
      <c r="I22" s="71" t="s">
        <v>68</v>
      </c>
    </row>
  </sheetData>
  <mergeCells count="1">
    <mergeCell ref="E1:G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PPM Monitoring-EV</vt:lpstr>
      <vt:lpstr>PPM Monitoring-Defect Rate</vt:lpstr>
      <vt:lpstr>Subprocess Monitoring</vt:lpstr>
      <vt:lpstr>Data for Subprocess Monitoring</vt:lpstr>
      <vt:lpstr>Raw data for EV</vt:lpstr>
      <vt:lpstr>Raw data for Defect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Kumar, Amit</cp:lastModifiedBy>
  <dcterms:created xsi:type="dcterms:W3CDTF">2017-04-28T14:09:36Z</dcterms:created>
  <dcterms:modified xsi:type="dcterms:W3CDTF">2021-08-26T16:39:27Z</dcterms:modified>
</cp:coreProperties>
</file>