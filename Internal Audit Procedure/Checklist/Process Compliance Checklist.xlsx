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showInkAnnotation="0" defaultThemeVersion="124226"/>
  <bookViews>
    <workbookView xWindow="240" yWindow="105" windowWidth="14805" windowHeight="8010"/>
  </bookViews>
  <sheets>
    <sheet name="Process Compliance Checklist" sheetId="1" r:id="rId1"/>
    <sheet name="Scoring Criteria" sheetId="3" r:id="rId2"/>
  </sheets>
  <calcPr calcId="152511"/>
</workbook>
</file>

<file path=xl/calcChain.xml><?xml version="1.0" encoding="utf-8"?>
<calcChain xmlns="http://schemas.openxmlformats.org/spreadsheetml/2006/main">
  <c r="C56" i="1" l="1"/>
  <c r="C55" i="1"/>
  <c r="C54" i="1"/>
  <c r="C57" i="1" s="1"/>
</calcChain>
</file>

<file path=xl/sharedStrings.xml><?xml version="1.0" encoding="utf-8"?>
<sst xmlns="http://schemas.openxmlformats.org/spreadsheetml/2006/main" count="107" uniqueCount="72">
  <si>
    <t>S.No</t>
  </si>
  <si>
    <t>Project Name</t>
  </si>
  <si>
    <t>Checkpoint</t>
  </si>
  <si>
    <t>Yes/No/NA</t>
  </si>
  <si>
    <t>Remarks</t>
  </si>
  <si>
    <t>PM Name</t>
  </si>
  <si>
    <t>Yes</t>
  </si>
  <si>
    <t>NA</t>
  </si>
  <si>
    <t>Process Compliance Checklist</t>
  </si>
  <si>
    <t>Audit Date</t>
  </si>
  <si>
    <t>Auditor Name</t>
  </si>
  <si>
    <t>Is the deviation request form prepared and approved for any process tailoring and deviation identified in the project?</t>
  </si>
  <si>
    <t>Are Estimation/ Re-estimations done based on the estimation guidelines and a methodology defined in PMP?</t>
  </si>
  <si>
    <t>Effort Spent</t>
  </si>
  <si>
    <t>PMP is updated periodically based on triggers.</t>
  </si>
  <si>
    <t>Is Project planning (PMP ) complete with all relevant sections appropriately filled up?</t>
  </si>
  <si>
    <t>Are hardware , software and network resources available as per plan?</t>
  </si>
  <si>
    <t xml:space="preserve">Are the risks relevant to the project are identified appropriately, documented and analyzed. Are stakeholders responsible to take actions for mitigation been informed. Have mitigation actions implemented and tracked to closure. </t>
  </si>
  <si>
    <t>Has the project progress review meeting held at the defined frequency? Are action items identified are tracked to closure?</t>
  </si>
  <si>
    <t>Engineering</t>
  </si>
  <si>
    <t>Is the Requirements traceability matrix is established and maintained (including CRs), through out all phases.</t>
  </si>
  <si>
    <t>Are user documentation prepared, reviewed, approved and baselined?</t>
  </si>
  <si>
    <t>Support</t>
  </si>
  <si>
    <t>All releases are subjected to release audit as defined in PMP?</t>
  </si>
  <si>
    <t>Are corrective action for Non compliances reported during process reviews and release audit identified and tracked to closure?</t>
  </si>
  <si>
    <t>Project Closure</t>
  </si>
  <si>
    <t>Is the project initiation report prepared? Are all stakeholders informed about the project initiation and initiation meeting conducted. Are all the action items from initiation meeting tracked to closure?</t>
  </si>
  <si>
    <t>Is the project initiation review conducted and  findings tracked to closure?</t>
  </si>
  <si>
    <t>Are the reviews of estimations are done and relevant review records are available.  Are estimations/ re-estimations approved by User or sponsoring directorate?</t>
  </si>
  <si>
    <t>Is the metrics data  analyzed and actions taken for any variations in the metrics in PMWB?</t>
  </si>
  <si>
    <t>Is the requirement document approved by user?</t>
  </si>
  <si>
    <t>Is the Unit Testing conducted and all testing observations are tracked to closure?</t>
  </si>
  <si>
    <t>Is the Risk database, Metrics database, Learning database updated with project risk data and shared with organization?</t>
  </si>
  <si>
    <t>Estimation are revisited at phase ends and for change in scope?</t>
  </si>
  <si>
    <t>is the work breakdown structure is used for detailing the  work for the purpose of estimation &amp; planning?</t>
  </si>
  <si>
    <t>Does the PMP define the applicable life cycle model that reflects the actual practice in the project. Are the tailoring details for the project documented?</t>
  </si>
  <si>
    <t>A</t>
  </si>
  <si>
    <t>B</t>
  </si>
  <si>
    <t>Are planned parameters like size, schedule, effort, Risks, Issues, defects tracked at regular frequency as defined in the PMP.  Is the tracking done quantitatively wrt to defined  goals?</t>
  </si>
  <si>
    <t>Project Initiation and Planning</t>
  </si>
  <si>
    <t>Project Monitoring and Control</t>
  </si>
  <si>
    <t>Are human resource requirements planned. Is the Skill &amp; knowledge requirements are identified in PMP/PMWB? Where skills gaps exists, training needs &amp; skill up gradation mechanisms are identified as per plan and tracked?</t>
  </si>
  <si>
    <t>C</t>
  </si>
  <si>
    <t>Have the requirements been elicited to define expectations? Are records of requirements gathering and elicitation from users available?</t>
  </si>
  <si>
    <t>Change to Requirements (CRs) are adequately logged, analyzed and tracked to closure?  Is the Impact analysis, change proposal, change execution is done as per the processes?</t>
  </si>
  <si>
    <t>Are the architecture and design specification are prepared, reviewed, approved and baselined?</t>
  </si>
  <si>
    <t>Is the coding is done  in accordance with the baselined design documents and coding guidelines? Is the code review done using code review checklist and review comments tracked to closure?</t>
  </si>
  <si>
    <t>D</t>
  </si>
  <si>
    <t>E</t>
  </si>
  <si>
    <t>Process Compliance Index</t>
  </si>
  <si>
    <t>No</t>
  </si>
  <si>
    <t>Has the project been closed as per QMS process.  Has the virtual closure done for projects running more than 6 months? Is the closure report complete with lessons learnt, best practice and project closure meeting conducted?</t>
  </si>
  <si>
    <t>Is configuration status report updated for all CIs? Are access rights provided to team as per access rights form? Is backup of data pertaining to CI items are done at the defined frequency? Are Random restoration checks of backups done? Are CM audits done in accordance with the audit frequency defined in PMP?</t>
  </si>
  <si>
    <t>Count of Yes</t>
  </si>
  <si>
    <t>Count of No</t>
  </si>
  <si>
    <t>Count of NA</t>
  </si>
  <si>
    <t xml:space="preserve">Process Compliance Index = Total No. 'YES'/(Total No. of 'YES' + Total No. of 'NO') </t>
  </si>
  <si>
    <t>Pci Score 80 -100</t>
  </si>
  <si>
    <t>Pci Score &gt;50 - &lt;80</t>
  </si>
  <si>
    <t>Pci Score  &lt;50</t>
  </si>
  <si>
    <t>PCI Score</t>
  </si>
  <si>
    <t>RAG Status</t>
  </si>
  <si>
    <t>Project Code</t>
  </si>
  <si>
    <t>Is PMP peer reviewed and review records available? Are all review comments logged &amp; tracked to closure? Is the Project planning checklist used for review? Is PMP baselined based on approval by HOD?</t>
  </si>
  <si>
    <t>Has the senior management review meeting held at the defined frequency? Are action items identified are tracked to closure?</t>
  </si>
  <si>
    <t>Is the requirement (SOW, SRS, BBD) document prepared, reviewed, approved and baseline? Are all review comments tracked to closure?</t>
  </si>
  <si>
    <t>Are the unit test cases  prepared, reviewed , approved &amp; baselined. Is the test case review checklist used for the review?</t>
  </si>
  <si>
    <t>Are the Test plan and test cases  prepared, reviewed , approved &amp; baselined? Is the test plan review checklist and test case review checklist used for the review?</t>
  </si>
  <si>
    <t>Is the testing conducted and all testing observations are tracked to closure?</t>
  </si>
  <si>
    <t>Are all UAT defects logged and tracked to closure?</t>
  </si>
  <si>
    <t>Are all Security testing defects logged and tracked to closure?</t>
  </si>
  <si>
    <t>Are all STQC testing defects logged and tracked to closure?</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</si>
</sst>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b/>
      <sz val="14"/>
      <name val="Calibri"/>
      <family val="2"/>
      <scheme val="minor"/>
    </font>
    <font>
      <sz val="14"/>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theme="6"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38">
    <xf numFmtId="0" fontId="0" fillId="0" borderId="0" xfId="0"/>
    <xf numFmtId="0" fontId="0" fillId="0" borderId="0" xfId="0" applyFont="1"/>
    <xf numFmtId="0" fontId="0" fillId="0" borderId="1" xfId="0" applyFont="1" applyBorder="1" applyAlignment="1">
      <alignment horizontal="center"/>
    </xf>
    <xf numFmtId="0" fontId="0" fillId="0" borderId="1" xfId="0" applyFont="1" applyBorder="1"/>
    <xf numFmtId="0" fontId="0" fillId="5" borderId="1" xfId="0" applyFont="1" applyFill="1" applyBorder="1"/>
    <xf numFmtId="0" fontId="0" fillId="6" borderId="1" xfId="0" applyFont="1" applyFill="1" applyBorder="1"/>
    <xf numFmtId="0" fontId="0" fillId="7" borderId="1" xfId="0" applyFont="1" applyFill="1" applyBorder="1"/>
    <xf numFmtId="0" fontId="0" fillId="3" borderId="1" xfId="0" applyFont="1" applyFill="1" applyBorder="1" applyAlignment="1">
      <alignment horizontal="center" vertical="center"/>
    </xf>
    <xf numFmtId="0" fontId="0" fillId="0" borderId="0" xfId="0" applyFont="1" applyAlignment="1" applyProtection="1">
      <alignment vertical="center"/>
      <protection locked="0"/>
    </xf>
    <xf numFmtId="0" fontId="2" fillId="2" borderId="6" xfId="0" applyFont="1" applyFill="1" applyBorder="1" applyAlignment="1" applyProtection="1">
      <alignment horizontal="center" vertical="top" wrapText="1"/>
      <protection locked="0"/>
    </xf>
    <xf numFmtId="0" fontId="2" fillId="2" borderId="7" xfId="0" applyFont="1" applyFill="1" applyBorder="1" applyAlignment="1" applyProtection="1">
      <alignment horizontal="center" vertical="top" wrapText="1"/>
      <protection locked="0"/>
    </xf>
    <xf numFmtId="0" fontId="2" fillId="2" borderId="8" xfId="0" applyFont="1" applyFill="1" applyBorder="1" applyAlignment="1" applyProtection="1">
      <alignment horizontal="center" vertical="top" wrapText="1"/>
      <protection locked="0"/>
    </xf>
    <xf numFmtId="0" fontId="2" fillId="2" borderId="2" xfId="0" applyFont="1" applyFill="1" applyBorder="1" applyAlignment="1" applyProtection="1">
      <alignment horizontal="center" vertical="top" wrapText="1"/>
      <protection locked="0"/>
    </xf>
    <xf numFmtId="0" fontId="2" fillId="2" borderId="3" xfId="0" applyFont="1" applyFill="1" applyBorder="1" applyAlignment="1" applyProtection="1">
      <alignment horizontal="center" vertical="top" wrapText="1"/>
      <protection locked="0"/>
    </xf>
    <xf numFmtId="0" fontId="2" fillId="2" borderId="4" xfId="0" applyFont="1" applyFill="1" applyBorder="1" applyAlignment="1" applyProtection="1">
      <alignment horizontal="center" vertical="top" wrapText="1"/>
      <protection locked="0"/>
    </xf>
    <xf numFmtId="0" fontId="0" fillId="0" borderId="0" xfId="0" applyFont="1" applyProtection="1">
      <protection locked="0"/>
    </xf>
    <xf numFmtId="0" fontId="2" fillId="2" borderId="2" xfId="0" applyFont="1" applyFill="1" applyBorder="1" applyAlignment="1" applyProtection="1">
      <alignment horizontal="center" vertical="top" wrapText="1"/>
      <protection locked="0"/>
    </xf>
    <xf numFmtId="0" fontId="2" fillId="2" borderId="3" xfId="0" applyFont="1" applyFill="1" applyBorder="1" applyAlignment="1" applyProtection="1">
      <alignment horizontal="center" vertical="top" wrapText="1"/>
      <protection locked="0"/>
    </xf>
    <xf numFmtId="0" fontId="2" fillId="2" borderId="4" xfId="0" applyFont="1" applyFill="1" applyBorder="1" applyAlignment="1" applyProtection="1">
      <alignment horizontal="center" vertical="top" wrapText="1"/>
      <protection locked="0"/>
    </xf>
    <xf numFmtId="0" fontId="0" fillId="0" borderId="0" xfId="0" applyFont="1" applyAlignment="1" applyProtection="1">
      <alignment horizontal="center" vertical="center"/>
      <protection locked="0"/>
    </xf>
    <xf numFmtId="0" fontId="0" fillId="0" borderId="1" xfId="0" applyFont="1" applyBorder="1" applyAlignment="1" applyProtection="1">
      <alignment horizontal="center"/>
      <protection locked="0"/>
    </xf>
    <xf numFmtId="0" fontId="0" fillId="0" borderId="1" xfId="0" applyFont="1" applyBorder="1" applyProtection="1">
      <protection locked="0"/>
    </xf>
    <xf numFmtId="0" fontId="0" fillId="0" borderId="1" xfId="0" applyFont="1" applyBorder="1" applyAlignment="1" applyProtection="1">
      <alignment wrapText="1"/>
      <protection locked="0"/>
    </xf>
    <xf numFmtId="0" fontId="4" fillId="3" borderId="9" xfId="0" applyFont="1" applyFill="1" applyBorder="1" applyAlignment="1" applyProtection="1">
      <alignment horizontal="center" vertical="center"/>
    </xf>
    <xf numFmtId="0" fontId="5" fillId="3" borderId="10" xfId="0" applyFont="1" applyFill="1" applyBorder="1" applyAlignment="1" applyProtection="1">
      <alignment horizontal="center" vertical="center"/>
    </xf>
    <xf numFmtId="0" fontId="5" fillId="3" borderId="11" xfId="0" applyFont="1" applyFill="1" applyBorder="1" applyAlignment="1" applyProtection="1">
      <alignment horizontal="center" vertical="center"/>
    </xf>
    <xf numFmtId="0" fontId="2" fillId="3" borderId="5" xfId="0" applyFont="1" applyFill="1" applyBorder="1" applyAlignment="1" applyProtection="1">
      <alignment vertical="top" wrapText="1"/>
    </xf>
    <xf numFmtId="0" fontId="2" fillId="3" borderId="1" xfId="0" applyFont="1" applyFill="1" applyBorder="1" applyAlignment="1" applyProtection="1">
      <alignment vertical="top" wrapText="1"/>
    </xf>
    <xf numFmtId="0" fontId="2" fillId="3" borderId="1" xfId="0" applyFont="1" applyFill="1" applyBorder="1" applyAlignment="1" applyProtection="1">
      <alignment horizontal="center" vertical="center" wrapText="1"/>
    </xf>
    <xf numFmtId="0" fontId="2" fillId="4" borderId="1" xfId="0" applyFont="1" applyFill="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xf>
    <xf numFmtId="0" fontId="2" fillId="4" borderId="1" xfId="0" applyFont="1" applyFill="1" applyBorder="1" applyAlignment="1" applyProtection="1">
      <alignment horizontal="left" vertical="center" wrapText="1"/>
    </xf>
    <xf numFmtId="0" fontId="3" fillId="0" borderId="1" xfId="0" applyFont="1" applyBorder="1" applyAlignment="1" applyProtection="1">
      <alignment wrapText="1"/>
    </xf>
    <xf numFmtId="0" fontId="3" fillId="0" borderId="1" xfId="0" applyFont="1" applyFill="1" applyBorder="1" applyAlignment="1" applyProtection="1">
      <alignment wrapText="1"/>
    </xf>
    <xf numFmtId="0" fontId="1" fillId="3" borderId="1" xfId="0" applyFont="1" applyFill="1" applyBorder="1" applyAlignment="1" applyProtection="1">
      <alignment horizontal="right"/>
    </xf>
    <xf numFmtId="0" fontId="1" fillId="8" borderId="1" xfId="0" applyFont="1" applyFill="1" applyBorder="1" applyProtection="1"/>
    <xf numFmtId="2" fontId="1" fillId="0" borderId="1" xfId="0" applyNumberFormat="1" applyFont="1" applyBorder="1" applyProtection="1"/>
  </cellXfs>
  <cellStyles count="1">
    <cellStyle name="Normal" xfId="0" builtinId="0"/>
  </cellStyles>
  <dxfs count="5">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552450</xdr:colOff>
      <xdr:row>0</xdr:row>
      <xdr:rowOff>380999</xdr:rowOff>
    </xdr:to>
    <xdr:pic>
      <xdr:nvPicPr>
        <xdr:cNvPr id="2" name="Picture 1" descr="logo-n"/>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52450" cy="380999"/>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7"/>
  <sheetViews>
    <sheetView tabSelected="1" zoomScaleNormal="100" workbookViewId="0">
      <selection sqref="A1:D1"/>
    </sheetView>
  </sheetViews>
  <sheetFormatPr defaultRowHeight="15" x14ac:dyDescent="0.25"/>
  <cols>
    <col min="1" max="1" width="15.42578125" style="15" customWidth="1"/>
    <col min="2" max="2" width="59" style="15" customWidth="1"/>
    <col min="3" max="3" width="13.42578125" style="15" customWidth="1"/>
    <col min="4" max="4" width="29.42578125" style="15" customWidth="1"/>
    <col min="5" max="5" width="14.140625" style="15" customWidth="1"/>
    <col min="6" max="6" width="25" style="15" customWidth="1"/>
    <col min="7" max="7" width="21.42578125" style="15" customWidth="1"/>
    <col min="8" max="8" width="24.85546875" style="15" customWidth="1"/>
    <col min="9" max="16384" width="9.140625" style="15"/>
  </cols>
  <sheetData>
    <row r="1" spans="1:4" s="8" customFormat="1" ht="30" customHeight="1" thickBot="1" x14ac:dyDescent="0.3">
      <c r="A1" s="23" t="s">
        <v>8</v>
      </c>
      <c r="B1" s="24"/>
      <c r="C1" s="24"/>
      <c r="D1" s="25"/>
    </row>
    <row r="2" spans="1:4" s="8" customFormat="1" ht="15" customHeight="1" x14ac:dyDescent="0.25">
      <c r="A2" s="26" t="s">
        <v>62</v>
      </c>
      <c r="B2" s="9"/>
      <c r="C2" s="10"/>
      <c r="D2" s="11"/>
    </row>
    <row r="3" spans="1:4" x14ac:dyDescent="0.25">
      <c r="A3" s="27" t="s">
        <v>1</v>
      </c>
      <c r="B3" s="12"/>
      <c r="C3" s="13"/>
      <c r="D3" s="14"/>
    </row>
    <row r="4" spans="1:4" x14ac:dyDescent="0.25">
      <c r="A4" s="27" t="s">
        <v>5</v>
      </c>
      <c r="B4" s="12"/>
      <c r="C4" s="13"/>
      <c r="D4" s="14"/>
    </row>
    <row r="5" spans="1:4" x14ac:dyDescent="0.25">
      <c r="A5" s="27" t="s">
        <v>10</v>
      </c>
      <c r="B5" s="12"/>
      <c r="C5" s="13"/>
      <c r="D5" s="14"/>
    </row>
    <row r="6" spans="1:4" x14ac:dyDescent="0.25">
      <c r="A6" s="27" t="s">
        <v>9</v>
      </c>
      <c r="B6" s="12"/>
      <c r="C6" s="13"/>
      <c r="D6" s="14"/>
    </row>
    <row r="7" spans="1:4" x14ac:dyDescent="0.25">
      <c r="A7" s="27" t="s">
        <v>13</v>
      </c>
      <c r="B7" s="16"/>
      <c r="C7" s="17"/>
      <c r="D7" s="18"/>
    </row>
    <row r="8" spans="1:4" s="19" customFormat="1" ht="22.5" customHeight="1" x14ac:dyDescent="0.25">
      <c r="A8" s="28" t="s">
        <v>0</v>
      </c>
      <c r="B8" s="28" t="s">
        <v>2</v>
      </c>
      <c r="C8" s="28" t="s">
        <v>3</v>
      </c>
      <c r="D8" s="28" t="s">
        <v>4</v>
      </c>
    </row>
    <row r="9" spans="1:4" s="19" customFormat="1" ht="22.5" customHeight="1" x14ac:dyDescent="0.25">
      <c r="A9" s="29" t="s">
        <v>36</v>
      </c>
      <c r="B9" s="32" t="s">
        <v>39</v>
      </c>
      <c r="C9" s="29"/>
      <c r="D9" s="29"/>
    </row>
    <row r="10" spans="1:4" ht="60" x14ac:dyDescent="0.25">
      <c r="A10" s="30">
        <v>1</v>
      </c>
      <c r="B10" s="33" t="s">
        <v>26</v>
      </c>
      <c r="C10" s="20" t="s">
        <v>6</v>
      </c>
      <c r="D10" s="21"/>
    </row>
    <row r="11" spans="1:4" ht="30" x14ac:dyDescent="0.25">
      <c r="A11" s="30">
        <v>2</v>
      </c>
      <c r="B11" s="33" t="s">
        <v>27</v>
      </c>
      <c r="C11" s="20" t="s">
        <v>6</v>
      </c>
      <c r="D11" s="21"/>
    </row>
    <row r="12" spans="1:4" ht="30" x14ac:dyDescent="0.25">
      <c r="A12" s="30">
        <v>3</v>
      </c>
      <c r="B12" s="33" t="s">
        <v>11</v>
      </c>
      <c r="C12" s="20" t="s">
        <v>7</v>
      </c>
      <c r="D12" s="22"/>
    </row>
    <row r="13" spans="1:4" ht="30" x14ac:dyDescent="0.25">
      <c r="A13" s="30">
        <v>4</v>
      </c>
      <c r="B13" s="33" t="s">
        <v>12</v>
      </c>
      <c r="C13" s="20" t="s">
        <v>7</v>
      </c>
      <c r="D13" s="22"/>
    </row>
    <row r="14" spans="1:4" ht="45" x14ac:dyDescent="0.25">
      <c r="A14" s="30">
        <v>5</v>
      </c>
      <c r="B14" s="33" t="s">
        <v>28</v>
      </c>
      <c r="C14" s="20" t="s">
        <v>7</v>
      </c>
      <c r="D14" s="22"/>
    </row>
    <row r="15" spans="1:4" x14ac:dyDescent="0.25">
      <c r="A15" s="30">
        <v>6</v>
      </c>
      <c r="B15" s="33" t="s">
        <v>33</v>
      </c>
      <c r="C15" s="20" t="s">
        <v>6</v>
      </c>
      <c r="D15" s="21"/>
    </row>
    <row r="16" spans="1:4" ht="30" x14ac:dyDescent="0.25">
      <c r="A16" s="30">
        <v>7</v>
      </c>
      <c r="B16" s="33" t="s">
        <v>15</v>
      </c>
      <c r="C16" s="20" t="s">
        <v>6</v>
      </c>
      <c r="D16" s="21"/>
    </row>
    <row r="17" spans="1:4" ht="30" x14ac:dyDescent="0.25">
      <c r="A17" s="30">
        <v>8</v>
      </c>
      <c r="B17" s="33" t="s">
        <v>34</v>
      </c>
      <c r="C17" s="20" t="s">
        <v>6</v>
      </c>
      <c r="D17" s="21"/>
    </row>
    <row r="18" spans="1:4" ht="45" x14ac:dyDescent="0.25">
      <c r="A18" s="30">
        <v>9</v>
      </c>
      <c r="B18" s="33" t="s">
        <v>35</v>
      </c>
      <c r="C18" s="20" t="s">
        <v>6</v>
      </c>
      <c r="D18" s="21"/>
    </row>
    <row r="19" spans="1:4" ht="60" x14ac:dyDescent="0.25">
      <c r="A19" s="30">
        <v>10</v>
      </c>
      <c r="B19" s="33" t="s">
        <v>63</v>
      </c>
      <c r="C19" s="20" t="s">
        <v>6</v>
      </c>
      <c r="D19" s="21"/>
    </row>
    <row r="20" spans="1:4" x14ac:dyDescent="0.25">
      <c r="A20" s="30">
        <v>11</v>
      </c>
      <c r="B20" s="33" t="s">
        <v>14</v>
      </c>
      <c r="C20" s="20" t="s">
        <v>6</v>
      </c>
      <c r="D20" s="21"/>
    </row>
    <row r="21" spans="1:4" ht="18.75" customHeight="1" x14ac:dyDescent="0.25">
      <c r="A21" s="29" t="s">
        <v>37</v>
      </c>
      <c r="B21" s="32" t="s">
        <v>40</v>
      </c>
      <c r="C21" s="29"/>
      <c r="D21" s="29"/>
    </row>
    <row r="22" spans="1:4" ht="45" x14ac:dyDescent="0.25">
      <c r="A22" s="30">
        <v>12</v>
      </c>
      <c r="B22" s="33" t="s">
        <v>38</v>
      </c>
      <c r="C22" s="20" t="s">
        <v>6</v>
      </c>
      <c r="D22" s="21"/>
    </row>
    <row r="23" spans="1:4" ht="30" x14ac:dyDescent="0.25">
      <c r="A23" s="30">
        <v>13</v>
      </c>
      <c r="B23" s="33" t="s">
        <v>29</v>
      </c>
      <c r="C23" s="20" t="s">
        <v>6</v>
      </c>
      <c r="D23" s="21"/>
    </row>
    <row r="24" spans="1:4" ht="60" x14ac:dyDescent="0.25">
      <c r="A24" s="30">
        <v>14</v>
      </c>
      <c r="B24" s="34" t="s">
        <v>41</v>
      </c>
      <c r="C24" s="20" t="s">
        <v>6</v>
      </c>
      <c r="D24" s="21"/>
    </row>
    <row r="25" spans="1:4" ht="30" x14ac:dyDescent="0.25">
      <c r="A25" s="30">
        <v>15</v>
      </c>
      <c r="B25" s="34" t="s">
        <v>16</v>
      </c>
      <c r="C25" s="20" t="s">
        <v>6</v>
      </c>
      <c r="D25" s="21"/>
    </row>
    <row r="26" spans="1:4" ht="60" x14ac:dyDescent="0.25">
      <c r="A26" s="30">
        <v>16</v>
      </c>
      <c r="B26" s="34" t="s">
        <v>17</v>
      </c>
      <c r="C26" s="20" t="s">
        <v>6</v>
      </c>
      <c r="D26" s="21"/>
    </row>
    <row r="27" spans="1:4" ht="30" x14ac:dyDescent="0.25">
      <c r="A27" s="30">
        <v>17</v>
      </c>
      <c r="B27" s="34" t="s">
        <v>18</v>
      </c>
      <c r="C27" s="20" t="s">
        <v>6</v>
      </c>
      <c r="D27" s="21"/>
    </row>
    <row r="28" spans="1:4" ht="45" x14ac:dyDescent="0.25">
      <c r="A28" s="30">
        <v>18</v>
      </c>
      <c r="B28" s="34" t="s">
        <v>64</v>
      </c>
      <c r="C28" s="20" t="s">
        <v>6</v>
      </c>
      <c r="D28" s="21"/>
    </row>
    <row r="29" spans="1:4" ht="27.75" customHeight="1" x14ac:dyDescent="0.25">
      <c r="A29" s="29" t="s">
        <v>42</v>
      </c>
      <c r="B29" s="32" t="s">
        <v>19</v>
      </c>
      <c r="C29" s="29"/>
      <c r="D29" s="29"/>
    </row>
    <row r="30" spans="1:4" ht="45" x14ac:dyDescent="0.25">
      <c r="A30" s="30">
        <v>19</v>
      </c>
      <c r="B30" s="34" t="s">
        <v>43</v>
      </c>
      <c r="C30" s="20" t="s">
        <v>6</v>
      </c>
      <c r="D30" s="21"/>
    </row>
    <row r="31" spans="1:4" ht="45" x14ac:dyDescent="0.25">
      <c r="A31" s="30">
        <v>20</v>
      </c>
      <c r="B31" s="34" t="s">
        <v>65</v>
      </c>
      <c r="C31" s="20" t="s">
        <v>6</v>
      </c>
      <c r="D31" s="21"/>
    </row>
    <row r="32" spans="1:4" x14ac:dyDescent="0.25">
      <c r="A32" s="30">
        <v>21</v>
      </c>
      <c r="B32" s="34" t="s">
        <v>30</v>
      </c>
      <c r="C32" s="20" t="s">
        <v>6</v>
      </c>
      <c r="D32" s="21"/>
    </row>
    <row r="33" spans="1:4" ht="45" x14ac:dyDescent="0.25">
      <c r="A33" s="30">
        <v>22</v>
      </c>
      <c r="B33" s="34" t="s">
        <v>44</v>
      </c>
      <c r="C33" s="20" t="s">
        <v>6</v>
      </c>
      <c r="D33" s="21"/>
    </row>
    <row r="34" spans="1:4" ht="30" x14ac:dyDescent="0.25">
      <c r="A34" s="30">
        <v>23</v>
      </c>
      <c r="B34" s="34" t="s">
        <v>45</v>
      </c>
      <c r="C34" s="20" t="s">
        <v>6</v>
      </c>
      <c r="D34" s="21"/>
    </row>
    <row r="35" spans="1:4" ht="60" x14ac:dyDescent="0.25">
      <c r="A35" s="30">
        <v>24</v>
      </c>
      <c r="B35" s="34" t="s">
        <v>46</v>
      </c>
      <c r="C35" s="20" t="s">
        <v>50</v>
      </c>
      <c r="D35" s="21"/>
    </row>
    <row r="36" spans="1:4" ht="30" x14ac:dyDescent="0.25">
      <c r="A36" s="30">
        <v>25</v>
      </c>
      <c r="B36" s="34" t="s">
        <v>66</v>
      </c>
      <c r="C36" s="20" t="s">
        <v>50</v>
      </c>
      <c r="D36" s="21"/>
    </row>
    <row r="37" spans="1:4" ht="30" x14ac:dyDescent="0.25">
      <c r="A37" s="30">
        <v>26</v>
      </c>
      <c r="B37" s="34" t="s">
        <v>31</v>
      </c>
      <c r="C37" s="20" t="s">
        <v>50</v>
      </c>
      <c r="D37" s="21"/>
    </row>
    <row r="38" spans="1:4" ht="45" x14ac:dyDescent="0.25">
      <c r="A38" s="30">
        <v>27</v>
      </c>
      <c r="B38" s="34" t="s">
        <v>67</v>
      </c>
      <c r="C38" s="20" t="s">
        <v>50</v>
      </c>
      <c r="D38" s="21"/>
    </row>
    <row r="39" spans="1:4" ht="30" x14ac:dyDescent="0.25">
      <c r="A39" s="30">
        <v>28</v>
      </c>
      <c r="B39" s="34" t="s">
        <v>68</v>
      </c>
      <c r="C39" s="20" t="s">
        <v>6</v>
      </c>
      <c r="D39" s="21"/>
    </row>
    <row r="40" spans="1:4" x14ac:dyDescent="0.25">
      <c r="A40" s="30">
        <v>29</v>
      </c>
      <c r="B40" s="34" t="s">
        <v>69</v>
      </c>
      <c r="C40" s="20" t="s">
        <v>6</v>
      </c>
      <c r="D40" s="21"/>
    </row>
    <row r="41" spans="1:4" x14ac:dyDescent="0.25">
      <c r="A41" s="30">
        <v>30</v>
      </c>
      <c r="B41" s="34" t="s">
        <v>70</v>
      </c>
      <c r="C41" s="20" t="s">
        <v>6</v>
      </c>
      <c r="D41" s="21"/>
    </row>
    <row r="42" spans="1:4" x14ac:dyDescent="0.25">
      <c r="A42" s="30">
        <v>31</v>
      </c>
      <c r="B42" s="34" t="s">
        <v>71</v>
      </c>
      <c r="C42" s="20" t="s">
        <v>6</v>
      </c>
      <c r="D42" s="21"/>
    </row>
    <row r="43" spans="1:4" ht="30" x14ac:dyDescent="0.25">
      <c r="A43" s="30">
        <v>32</v>
      </c>
      <c r="B43" s="34" t="s">
        <v>20</v>
      </c>
      <c r="C43" s="20" t="s">
        <v>6</v>
      </c>
      <c r="D43" s="21"/>
    </row>
    <row r="44" spans="1:4" ht="30" x14ac:dyDescent="0.25">
      <c r="A44" s="30">
        <v>33</v>
      </c>
      <c r="B44" s="34" t="s">
        <v>21</v>
      </c>
      <c r="C44" s="20" t="s">
        <v>6</v>
      </c>
      <c r="D44" s="21"/>
    </row>
    <row r="45" spans="1:4" ht="21" customHeight="1" x14ac:dyDescent="0.25">
      <c r="A45" s="29" t="s">
        <v>47</v>
      </c>
      <c r="B45" s="32" t="s">
        <v>22</v>
      </c>
      <c r="C45" s="29"/>
      <c r="D45" s="29"/>
    </row>
    <row r="46" spans="1:4" ht="75" x14ac:dyDescent="0.25">
      <c r="A46" s="31">
        <v>34</v>
      </c>
      <c r="B46" s="34" t="s">
        <v>52</v>
      </c>
      <c r="C46" s="20" t="s">
        <v>50</v>
      </c>
      <c r="D46" s="21"/>
    </row>
    <row r="47" spans="1:4" x14ac:dyDescent="0.25">
      <c r="A47" s="31">
        <v>35</v>
      </c>
      <c r="B47" s="34" t="s">
        <v>23</v>
      </c>
      <c r="C47" s="20" t="s">
        <v>50</v>
      </c>
      <c r="D47" s="21"/>
    </row>
    <row r="48" spans="1:4" ht="45" x14ac:dyDescent="0.25">
      <c r="A48" s="31">
        <v>36</v>
      </c>
      <c r="B48" s="34" t="s">
        <v>24</v>
      </c>
      <c r="C48" s="20" t="s">
        <v>6</v>
      </c>
      <c r="D48" s="21"/>
    </row>
    <row r="49" spans="1:4" ht="27.75" customHeight="1" x14ac:dyDescent="0.25">
      <c r="A49" s="29" t="s">
        <v>48</v>
      </c>
      <c r="B49" s="32" t="s">
        <v>25</v>
      </c>
      <c r="C49" s="29"/>
      <c r="D49" s="29"/>
    </row>
    <row r="50" spans="1:4" ht="60" x14ac:dyDescent="0.25">
      <c r="A50" s="31">
        <v>37</v>
      </c>
      <c r="B50" s="34" t="s">
        <v>51</v>
      </c>
      <c r="C50" s="20" t="s">
        <v>50</v>
      </c>
      <c r="D50" s="21"/>
    </row>
    <row r="51" spans="1:4" ht="30" x14ac:dyDescent="0.25">
      <c r="A51" s="31">
        <v>38</v>
      </c>
      <c r="B51" s="34" t="s">
        <v>32</v>
      </c>
      <c r="C51" s="20" t="s">
        <v>7</v>
      </c>
      <c r="D51" s="21"/>
    </row>
    <row r="54" spans="1:4" x14ac:dyDescent="0.25">
      <c r="B54" s="35" t="s">
        <v>53</v>
      </c>
      <c r="C54" s="36">
        <f>COUNTIF($C$10:$C$51,"Yes")</f>
        <v>27</v>
      </c>
    </row>
    <row r="55" spans="1:4" x14ac:dyDescent="0.25">
      <c r="B55" s="35" t="s">
        <v>54</v>
      </c>
      <c r="C55" s="36">
        <f>COUNTIF($C$10:$C$51,"NO")</f>
        <v>7</v>
      </c>
    </row>
    <row r="56" spans="1:4" x14ac:dyDescent="0.25">
      <c r="B56" s="35" t="s">
        <v>55</v>
      </c>
      <c r="C56" s="36">
        <f>COUNTIF($C$10:$C$51,"NA")</f>
        <v>4</v>
      </c>
    </row>
    <row r="57" spans="1:4" x14ac:dyDescent="0.25">
      <c r="B57" s="35" t="s">
        <v>49</v>
      </c>
      <c r="C57" s="37">
        <f>C54*100/SUM(C54:C55)</f>
        <v>79.411764705882348</v>
      </c>
    </row>
  </sheetData>
  <sheetProtection password="CA65" sheet="1" objects="1" scenarios="1"/>
  <mergeCells count="6">
    <mergeCell ref="B6:D6"/>
    <mergeCell ref="A1:D1"/>
    <mergeCell ref="B3:D3"/>
    <mergeCell ref="B4:D4"/>
    <mergeCell ref="B5:D5"/>
    <mergeCell ref="B2:D2"/>
  </mergeCells>
  <conditionalFormatting sqref="C57">
    <cfRule type="cellIs" dxfId="4" priority="1" operator="greaterThanOrEqual">
      <formula>80</formula>
    </cfRule>
    <cfRule type="cellIs" dxfId="3" priority="4" operator="lessThan">
      <formula>50</formula>
    </cfRule>
    <cfRule type="cellIs" dxfId="2" priority="6" operator="between">
      <formula>50</formula>
      <formula>"&lt;80"</formula>
    </cfRule>
  </conditionalFormatting>
  <conditionalFormatting sqref="E58">
    <cfRule type="cellIs" dxfId="1" priority="8" operator="between">
      <formula>60</formula>
      <formula>90</formula>
    </cfRule>
  </conditionalFormatting>
  <conditionalFormatting sqref="E53">
    <cfRule type="cellIs" dxfId="0" priority="7" operator="between">
      <formula>60</formula>
      <formula>89.9</formula>
    </cfRule>
  </conditionalFormatting>
  <dataValidations count="2">
    <dataValidation type="list" allowBlank="1" showInputMessage="1" showErrorMessage="1" sqref="C22:C28 C10:C20 C46:C48 C50:C51 C30:C44">
      <formula1>"Yes, No, NA"</formula1>
    </dataValidation>
    <dataValidation type="list" allowBlank="1" showInputMessage="1" showErrorMessage="1" sqref="D1:D7">
      <formula1>"Process, Guideline, Template, Checklist, Quality Manual"</formula1>
    </dataValidation>
  </dataValidations>
  <pageMargins left="0.7" right="0.7" top="0.75" bottom="0.75" header="0.3" footer="0.3"/>
  <pageSetup paperSize="9" scale="71" orientation="portrait" r:id="rId1"/>
  <headerFooter>
    <oddHeader>&amp;LPCC&amp;CProcess Compliance Checklist&amp;RVer 1.0</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J12"/>
  <sheetViews>
    <sheetView workbookViewId="0"/>
  </sheetViews>
  <sheetFormatPr defaultRowHeight="15" x14ac:dyDescent="0.25"/>
  <cols>
    <col min="3" max="3" width="20.5703125" customWidth="1"/>
    <col min="4" max="4" width="21.85546875" customWidth="1"/>
  </cols>
  <sheetData>
    <row r="3" spans="3:10" ht="27" customHeight="1" x14ac:dyDescent="0.25">
      <c r="C3" s="7" t="s">
        <v>56</v>
      </c>
      <c r="D3" s="7"/>
      <c r="E3" s="7"/>
      <c r="F3" s="7"/>
      <c r="G3" s="7"/>
      <c r="H3" s="7"/>
      <c r="I3" s="7"/>
      <c r="J3" s="7"/>
    </row>
    <row r="4" spans="3:10" x14ac:dyDescent="0.25">
      <c r="C4" s="1"/>
      <c r="D4" s="1"/>
      <c r="E4" s="1"/>
      <c r="F4" s="1"/>
      <c r="G4" s="1"/>
      <c r="H4" s="1"/>
      <c r="I4" s="1"/>
      <c r="J4" s="1"/>
    </row>
    <row r="5" spans="3:10" x14ac:dyDescent="0.25">
      <c r="C5" s="2" t="s">
        <v>60</v>
      </c>
      <c r="D5" s="2" t="s">
        <v>61</v>
      </c>
      <c r="E5" s="1"/>
      <c r="F5" s="1"/>
      <c r="G5" s="1"/>
      <c r="H5" s="1"/>
      <c r="I5" s="1"/>
      <c r="J5" s="1"/>
    </row>
    <row r="6" spans="3:10" x14ac:dyDescent="0.25">
      <c r="C6" s="3" t="s">
        <v>57</v>
      </c>
      <c r="D6" s="4"/>
      <c r="E6" s="1"/>
      <c r="F6" s="1"/>
      <c r="G6" s="1"/>
      <c r="H6" s="1"/>
      <c r="I6" s="1"/>
      <c r="J6" s="1"/>
    </row>
    <row r="7" spans="3:10" x14ac:dyDescent="0.25">
      <c r="C7" s="3" t="s">
        <v>58</v>
      </c>
      <c r="D7" s="5"/>
      <c r="E7" s="1"/>
      <c r="F7" s="1"/>
      <c r="G7" s="1"/>
      <c r="H7" s="1"/>
      <c r="I7" s="1"/>
      <c r="J7" s="1"/>
    </row>
    <row r="8" spans="3:10" x14ac:dyDescent="0.25">
      <c r="C8" s="3" t="s">
        <v>59</v>
      </c>
      <c r="D8" s="6"/>
      <c r="E8" s="1"/>
      <c r="F8" s="1"/>
      <c r="G8" s="1"/>
      <c r="H8" s="1"/>
      <c r="I8" s="1"/>
      <c r="J8" s="1"/>
    </row>
    <row r="9" spans="3:10" x14ac:dyDescent="0.25">
      <c r="C9" s="1"/>
      <c r="D9" s="1"/>
      <c r="E9" s="1"/>
      <c r="F9" s="1"/>
      <c r="G9" s="1"/>
      <c r="H9" s="1"/>
      <c r="I9" s="1"/>
      <c r="J9" s="1"/>
    </row>
    <row r="10" spans="3:10" x14ac:dyDescent="0.25">
      <c r="C10" s="1"/>
      <c r="D10" s="1"/>
      <c r="E10" s="1"/>
      <c r="F10" s="1"/>
      <c r="G10" s="1"/>
      <c r="H10" s="1"/>
      <c r="I10" s="1"/>
      <c r="J10" s="1"/>
    </row>
    <row r="11" spans="3:10" x14ac:dyDescent="0.25">
      <c r="C11" s="1"/>
      <c r="D11" s="1"/>
      <c r="E11" s="1"/>
      <c r="F11" s="1"/>
      <c r="G11" s="1"/>
      <c r="H11" s="1"/>
      <c r="I11" s="1"/>
      <c r="J11" s="1"/>
    </row>
    <row r="12" spans="3:10" x14ac:dyDescent="0.25">
      <c r="C12" s="1"/>
      <c r="D12" s="1"/>
      <c r="E12" s="1"/>
      <c r="F12" s="1"/>
      <c r="G12" s="1"/>
      <c r="H12" s="1"/>
      <c r="I12" s="1"/>
      <c r="J12" s="1"/>
    </row>
  </sheetData>
  <sheetProtection password="CA65" sheet="1" objects="1" scenarios="1"/>
  <mergeCells count="1">
    <mergeCell ref="C3:J3"/>
  </mergeCells>
  <pageMargins left="0.7" right="0.7" top="0.75" bottom="0.75" header="0.3" footer="0.3"/>
  <pageSetup paperSize="9" scale="84" orientation="portrait" r:id="rId1"/>
  <headerFooter>
    <oddHeader>&amp;LWQMS/PAL/SUP/IAP/P/1.0&amp;RProcess Compliance  Checklist</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Process Compliance Checklist</vt:lpstr>
      <vt:lpstr>Scoring Criteria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2014-11-24T09:30:15Z</dcterms:modified>
</cp:coreProperties>
</file>