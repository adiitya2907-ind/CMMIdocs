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UTL0647\QMS\Procedures\Internal Audit Procedure\Checklist\"/>
    </mc:Choice>
  </mc:AlternateContent>
  <xr:revisionPtr revIDLastSave="0" documentId="13_ncr:1_{28D1646E-EF2E-471C-9486-5BCCF4B9A96B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Template Revision History" sheetId="2" r:id="rId1"/>
    <sheet name="Audit checkpoints" sheetId="1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1" i="1" l="1"/>
  <c r="C80" i="1"/>
  <c r="C79" i="1"/>
  <c r="C82" i="1" l="1"/>
</calcChain>
</file>

<file path=xl/sharedStrings.xml><?xml version="1.0" encoding="utf-8"?>
<sst xmlns="http://schemas.openxmlformats.org/spreadsheetml/2006/main" count="158" uniqueCount="98">
  <si>
    <t>Process Compliance Checklist</t>
  </si>
  <si>
    <t>Project Code</t>
  </si>
  <si>
    <t>Project Name</t>
  </si>
  <si>
    <t>PM Name</t>
  </si>
  <si>
    <t>Auditor Name</t>
  </si>
  <si>
    <t>Audit Date</t>
  </si>
  <si>
    <t>Effort Spent</t>
  </si>
  <si>
    <t>S.No</t>
  </si>
  <si>
    <t>Checkpoint</t>
  </si>
  <si>
    <t>Yes/No/NA</t>
  </si>
  <si>
    <t>Remarks</t>
  </si>
  <si>
    <t>A</t>
  </si>
  <si>
    <t>NA</t>
  </si>
  <si>
    <t>B</t>
  </si>
  <si>
    <t>C</t>
  </si>
  <si>
    <t>Are all STQC testing defects logged and tracked to closure?</t>
  </si>
  <si>
    <t>Are user documentation prepared, reviewed, approved and baselined?</t>
  </si>
  <si>
    <t>D</t>
  </si>
  <si>
    <t>E</t>
  </si>
  <si>
    <t>Project Closure</t>
  </si>
  <si>
    <t>Have project related documents from Pre-sales team (such as Tender/TOR, approved technical proposal, work order/Purchase Order, estimation sheet) handed over to PM?</t>
  </si>
  <si>
    <t>Has internal kick-off meeting with project team members been performed using presentation PPT and MOM created?</t>
  </si>
  <si>
    <t>Has MOM document for project kick-off meeting with customer, been shared through email to all participants (customer, internal management team and project team members)?</t>
  </si>
  <si>
    <t>Project Initiation</t>
  </si>
  <si>
    <t>Are project Tender/TOR, approved technical proposal, work order/Purchase Order, estimation sheet, kick-off presentation, MOM, Org-level project management plan documents uploaded in PMS tool?</t>
  </si>
  <si>
    <t>Has external kick-off meeting with customer team been performed using project kick-off presentation and minutes captured in MOM document?</t>
  </si>
  <si>
    <t>Is approved org-level project management plan (PMP) document available with all relevant sections appropriately filled up?</t>
  </si>
  <si>
    <t>Project Planning and Monitoring</t>
  </si>
  <si>
    <t>Are project details and  schedule plan containing milesones/tasks with effort, timeline &amp; resources allocation, available in PMS tool?</t>
  </si>
  <si>
    <t>Are project progress review meetings being performed as per defined frequency? Are action items of review meetings being captured and tracked to closure?</t>
  </si>
  <si>
    <t>Are Estimation/ Re-estimations done based on the estimation guidelines defined in Org-level PMP document?</t>
  </si>
  <si>
    <t>Are reviews of estimations done and relevant review records available?  Are estimations/ re-estimations approved by HOD and top management?</t>
  </si>
  <si>
    <t>Is Project planning in project-level PMP complete with all relevant sections appropriately filled up?</t>
  </si>
  <si>
    <t>Is project-level PMP document baselined after approval by HOD?</t>
  </si>
  <si>
    <t>Is project-level PMP being updated periodically based on triggers?</t>
  </si>
  <si>
    <t>Are planned parameters like size, schedule, effort, Risks, Issues, defects being tracked at regular frequency as defined in the project-level PMP?</t>
  </si>
  <si>
    <t>Are WBS milestones and tasks defined in PMS tool?</t>
  </si>
  <si>
    <t>Are project's stakeholder details (list, involvement and dependencies) updated in PMS tool?</t>
  </si>
  <si>
    <t>Are Project assumptions and dependencies details  updated in PMS tool?</t>
  </si>
  <si>
    <t>Are project risks being identified, documented and analyzed properly in project risk register?
Have stakeholders responsible to take actions for mitigation been informed?</t>
  </si>
  <si>
    <t>Is filled risk register document uploaded in PMS tool?
Are identified mitigation plans/actions being implemented and tracked to closure?</t>
  </si>
  <si>
    <t>Are project actual efforts and schedule being updated in PMS tool?</t>
  </si>
  <si>
    <t>Are project issues logged in PMS tool and being tracked for closure?</t>
  </si>
  <si>
    <t>Are senior management review meetings being performed at  defined frequency and presentation PPT uploaded in PMS tool? 
Are action items identified being captured and tracked to closure?</t>
  </si>
  <si>
    <t>Software Engineering</t>
  </si>
  <si>
    <t>Have requirements been elicited to define required workflows? Are records of requirements gathering and elicitation from users available?</t>
  </si>
  <si>
    <t>Is requirement document approved by customer and baselined?</t>
  </si>
  <si>
    <t>Change to Requirements (CRs) are adequately logged, analyzed, estimated, approved and tracked to closure?  
Is Impact analysis, change proposal, change execution done as per defined process?</t>
  </si>
  <si>
    <t>Is coding done  in accordance with the baselined design documents and coding guidelines? Is code review done using code review checklist and review comments tracked to closure?</t>
  </si>
  <si>
    <t>Is technical design document (TDD) created, reviewed, approved and baselined?
Is TDD uploaded in PMS tool?</t>
  </si>
  <si>
    <t>Is Unit testing being conducted, testing issues being logged in PMS tool and tracked to closure?</t>
  </si>
  <si>
    <t>Has DAR (Decision Analysis &amp; Resolution) evaluation been performed and evaluation sheet uploaded in PMS tool?</t>
  </si>
  <si>
    <t>Is QC testing conducted and all testing issues logged in PMS tool and tracked to closure?</t>
  </si>
  <si>
    <t>Are all customer reported UAT defects logged in PMS tool and tracked to closure?</t>
  </si>
  <si>
    <t>Are all Security audit defects logged and tracked to closure?</t>
  </si>
  <si>
    <t>Is Requirements traceability matrix (RTM) created and updated throughout all phases including change requests.</t>
  </si>
  <si>
    <t>Are release notes being created and reviewed for customer releases?</t>
  </si>
  <si>
    <t>Has release audit been performed before production release of website/application? Are reported issues logged in PMS tool and tracked for closure before release?</t>
  </si>
  <si>
    <t>Support Activities</t>
  </si>
  <si>
    <t>Are corrective action for Non compliances reported during process reviews and release audit identified logged and tracked to closure?</t>
  </si>
  <si>
    <t>Is PMS tool updated with complete project data?</t>
  </si>
  <si>
    <t>Has project closure meeting been performed and MoM documented?</t>
  </si>
  <si>
    <t>Is backup of data pertaining to CI items being done at the defined frequency? Are Random restoration checks of backups done?</t>
  </si>
  <si>
    <t>Is project handover meeting conducted with HOD and minutes captured in MOM document?</t>
  </si>
  <si>
    <t>Are project handover meeting findings/action items tracked to closure?</t>
  </si>
  <si>
    <t>Are Configuration Audits being done as per audit frequency defined in PMP document and reported issues are logged and tracked to closure?</t>
  </si>
  <si>
    <t>Does project-level PMP define applicable life cycle model that reflects the actual practice in the project? Are tailoring details for the project documented?</t>
  </si>
  <si>
    <t>Is metrics data being analyzed and actions taken for any variations are logged under metrics in PMS tool?</t>
  </si>
  <si>
    <t xml:space="preserve">Are manpower requirements planned?
Are skill &amp; knowledge requirements identified in project-level PMP/PMS tool? 
</t>
  </si>
  <si>
    <t>In case of skills gap, training needs &amp; skill upgradation mechanisms are identified as per plan and being tracked?</t>
  </si>
  <si>
    <t>Is requirement document (SRS) created, reviewed, approved by technical head? Are all review comments being tracked to closure?</t>
  </si>
  <si>
    <t>Are test plan and test cases  prepared, reviewed , approved &amp; baselined? Is test plan review checklist and test case review checklist used for review?</t>
  </si>
  <si>
    <t xml:space="preserve">Is directory structure for configuration items identified? Is naming convention and labeling mechanism identified? </t>
  </si>
  <si>
    <t>Has project level PMP been updated with lessons learnt and best practices details are uploaded in PMS tool?</t>
  </si>
  <si>
    <t>Has HTML review checklist been filled by UI design team for created HTML pages of approved UI design and validated by QC team before starting the development of related features?</t>
  </si>
  <si>
    <t>Has QC testing of website/application been completed with all reported issues fixed and signed-off by QC lead? 
In case of "YES", QC testing sign-off email from QC lead with attached filled QC testing completion report should be available.</t>
  </si>
  <si>
    <t>Count of Yes</t>
  </si>
  <si>
    <t>Count of No</t>
  </si>
  <si>
    <t>Count of NA</t>
  </si>
  <si>
    <t>Process Compliance Index</t>
  </si>
  <si>
    <t xml:space="preserve">Has project objectives for QPPO (Quality and Process Performance Objectives) been set? </t>
  </si>
  <si>
    <t>Are identified sub-processes (for the achievement of QPPO), planned and monitored for planning, monitoring and closure phases of the project? It should be based on the defined prediction model in PPM sheet.</t>
  </si>
  <si>
    <t>Are critical defect types identified at project level or referred from organisation level, and actions implemented? Project level CAR (Causal Analysis &amp; Resolution) sheet should be evidenced.</t>
  </si>
  <si>
    <t>Are Org-level initiatives implemeted at project level? Please refer OPM sheet for identified initiatives.</t>
  </si>
  <si>
    <t>Is process composition done at project level to meet QPPOs?</t>
  </si>
  <si>
    <t>Is stability and capability analysis done at project level for critical X factors?</t>
  </si>
  <si>
    <t>Is effectiveness of actions on critical defects types evaluated at project level?</t>
  </si>
  <si>
    <t>Current Phase of project</t>
  </si>
  <si>
    <t>V1.4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</si>
  <si>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</si>
  <si>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</si>
  <si>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</si>
  <si>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</si>
  <si>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</si>
  <si>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</si>
  <si>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</si>
  <si>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</si>
  <si>
    <t>Is metrics data being analyzed
Is root cause identified or actions taken for any variations are logged under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</si>
</sst>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55">
    <xf numFmtId="0" fontId="0" fillId="0" borderId="0" xfId="0"/>
    <xf numFmtId="0" fontId="4" fillId="2" borderId="5" xfId="0" applyFont="1" applyFill="1" applyBorder="1" applyAlignment="1" applyProtection="1">
      <alignment vertical="top" wrapText="1"/>
    </xf>
    <xf numFmtId="0" fontId="4" fillId="2" borderId="1" xfId="0" applyFont="1" applyFill="1" applyBorder="1" applyAlignment="1" applyProtection="1">
      <alignment vertical="top" wrapText="1"/>
    </xf>
    <xf numFmtId="0" fontId="4" fillId="2" borderId="1" xfId="0" applyFont="1" applyFill="1" applyBorder="1" applyAlignment="1" applyProtection="1">
      <alignment horizontal="center" vertical="top" wrapText="1"/>
    </xf>
    <xf numFmtId="0" fontId="4" fillId="4" borderId="1" xfId="0" applyFont="1" applyFill="1" applyBorder="1" applyAlignment="1" applyProtection="1">
      <alignment horizontal="center" vertical="top" wrapText="1"/>
    </xf>
    <xf numFmtId="0" fontId="4" fillId="4" borderId="1" xfId="0" applyFont="1" applyFill="1" applyBorder="1" applyAlignment="1" applyProtection="1">
      <alignment horizontal="left" vertical="top" wrapText="1"/>
    </xf>
    <xf numFmtId="0" fontId="0" fillId="0" borderId="1" xfId="0" applyFont="1" applyBorder="1" applyAlignment="1" applyProtection="1">
      <alignment horizontal="center" vertical="top"/>
    </xf>
    <xf numFmtId="0" fontId="1" fillId="0" borderId="1" xfId="0" applyFont="1" applyBorder="1" applyAlignment="1" applyProtection="1">
      <alignment vertical="top" wrapText="1"/>
    </xf>
    <xf numFmtId="0" fontId="0" fillId="0" borderId="1" xfId="0" applyFont="1" applyBorder="1" applyAlignment="1" applyProtection="1">
      <alignment horizontal="center" vertical="top"/>
      <protection locked="0"/>
    </xf>
    <xf numFmtId="0" fontId="0" fillId="0" borderId="1" xfId="0" applyFont="1" applyBorder="1" applyAlignment="1" applyProtection="1">
      <alignment vertical="top" wrapText="1"/>
      <protection locked="0"/>
    </xf>
    <xf numFmtId="0" fontId="1" fillId="0" borderId="1" xfId="0" applyFont="1" applyFill="1" applyBorder="1" applyAlignment="1" applyProtection="1">
      <alignment vertical="top" wrapText="1"/>
    </xf>
    <xf numFmtId="0" fontId="0" fillId="0" borderId="0" xfId="0" applyAlignment="1">
      <alignment vertical="top"/>
    </xf>
    <xf numFmtId="0" fontId="4" fillId="3" borderId="9" xfId="0" applyFont="1" applyFill="1" applyBorder="1" applyAlignment="1" applyProtection="1">
      <alignment horizontal="left" vertical="top" wrapText="1"/>
      <protection locked="0"/>
    </xf>
    <xf numFmtId="0" fontId="4" fillId="3" borderId="10" xfId="0" applyFont="1" applyFill="1" applyBorder="1" applyAlignment="1" applyProtection="1">
      <alignment horizontal="left" vertical="top" wrapText="1"/>
      <protection locked="0"/>
    </xf>
    <xf numFmtId="0" fontId="4" fillId="3" borderId="11" xfId="0" applyFont="1" applyFill="1" applyBorder="1" applyAlignment="1" applyProtection="1">
      <alignment horizontal="left" vertical="top" wrapText="1"/>
      <protection locked="0"/>
    </xf>
    <xf numFmtId="0" fontId="1" fillId="0" borderId="12" xfId="0" applyFont="1" applyFill="1" applyBorder="1" applyAlignment="1" applyProtection="1">
      <alignment vertical="top" wrapText="1"/>
    </xf>
    <xf numFmtId="0" fontId="4" fillId="0" borderId="1" xfId="0" applyFont="1" applyFill="1" applyBorder="1" applyAlignment="1" applyProtection="1">
      <alignment horizontal="center" vertical="top" wrapText="1"/>
    </xf>
    <xf numFmtId="0" fontId="0" fillId="0" borderId="0" xfId="0" applyFill="1"/>
    <xf numFmtId="0" fontId="1" fillId="0" borderId="1" xfId="0" applyFont="1" applyFill="1" applyBorder="1" applyAlignment="1" applyProtection="1">
      <alignment horizontal="center" vertical="top" wrapText="1"/>
    </xf>
    <xf numFmtId="0" fontId="0" fillId="0" borderId="1" xfId="0" applyFont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vertical="center" wrapText="1"/>
    </xf>
    <xf numFmtId="0" fontId="0" fillId="0" borderId="1" xfId="0" applyFont="1" applyBorder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5" fillId="2" borderId="1" xfId="0" applyFont="1" applyFill="1" applyBorder="1" applyAlignment="1" applyProtection="1">
      <alignment horizontal="right"/>
    </xf>
    <xf numFmtId="0" fontId="5" fillId="5" borderId="1" xfId="0" applyFont="1" applyFill="1" applyBorder="1" applyProtection="1"/>
    <xf numFmtId="0" fontId="5" fillId="6" borderId="1" xfId="0" applyFont="1" applyFill="1" applyBorder="1" applyAlignment="1" applyProtection="1">
      <alignment horizontal="right"/>
    </xf>
    <xf numFmtId="2" fontId="5" fillId="0" borderId="1" xfId="0" applyNumberFormat="1" applyFont="1" applyBorder="1" applyProtection="1"/>
    <xf numFmtId="0" fontId="6" fillId="0" borderId="0" xfId="0" applyFont="1" applyAlignment="1">
      <alignment vertical="top"/>
    </xf>
    <xf numFmtId="0" fontId="0" fillId="0" borderId="1" xfId="0" applyBorder="1"/>
    <xf numFmtId="15" fontId="4" fillId="3" borderId="9" xfId="0" applyNumberFormat="1" applyFont="1" applyFill="1" applyBorder="1" applyAlignment="1" applyProtection="1">
      <alignment horizontal="left" vertical="top" wrapText="1"/>
      <protection locked="0"/>
    </xf>
    <xf numFmtId="0" fontId="4" fillId="3" borderId="10" xfId="0" applyFont="1" applyFill="1" applyBorder="1" applyAlignment="1" applyProtection="1">
      <alignment horizontal="left" vertical="top" wrapText="1"/>
      <protection locked="0"/>
    </xf>
    <xf numFmtId="0" fontId="4" fillId="3" borderId="11" xfId="0" applyFont="1" applyFill="1" applyBorder="1" applyAlignment="1" applyProtection="1">
      <alignment horizontal="left" vertical="top" wrapText="1"/>
      <protection locked="0"/>
    </xf>
    <xf numFmtId="0" fontId="8" fillId="0" borderId="0" xfId="1" applyFont="1" applyAlignment="1">
      <alignment horizontal="justify"/>
    </xf>
    <xf numFmtId="0" fontId="7" fillId="0" borderId="0" xfId="1"/>
    <xf numFmtId="0" fontId="9" fillId="7" borderId="1" xfId="1" applyFont="1" applyFill="1" applyBorder="1" applyAlignment="1">
      <alignment horizontal="center" vertical="top" wrapText="1"/>
    </xf>
    <xf numFmtId="164" fontId="10" fillId="0" borderId="1" xfId="1" applyNumberFormat="1" applyFont="1" applyBorder="1" applyAlignment="1">
      <alignment horizontal="center" vertical="top" wrapText="1"/>
    </xf>
    <xf numFmtId="165" fontId="10" fillId="0" borderId="1" xfId="1" applyNumberFormat="1" applyFont="1" applyBorder="1" applyAlignment="1">
      <alignment horizontal="center" vertical="top" wrapText="1"/>
    </xf>
    <xf numFmtId="0" fontId="10" fillId="0" borderId="1" xfId="1" applyFont="1" applyBorder="1" applyAlignment="1">
      <alignment horizontal="justify" vertical="top" wrapText="1"/>
    </xf>
    <xf numFmtId="0" fontId="0" fillId="0" borderId="1" xfId="0" applyFont="1" applyFill="1" applyBorder="1" applyAlignment="1" applyProtection="1">
      <alignment horizontal="center" vertical="top"/>
      <protection locked="0"/>
    </xf>
    <xf numFmtId="0" fontId="0" fillId="0" borderId="1" xfId="0" applyFont="1" applyFill="1" applyBorder="1" applyAlignment="1" applyProtection="1">
      <alignment vertical="top" wrapText="1"/>
      <protection locked="0"/>
    </xf>
    <xf numFmtId="0" fontId="9" fillId="7" borderId="13" xfId="1" applyFont="1" applyFill="1" applyBorder="1" applyAlignment="1">
      <alignment horizontal="center" vertical="top" wrapText="1"/>
    </xf>
    <xf numFmtId="0" fontId="9" fillId="7" borderId="5" xfId="1" applyFont="1" applyFill="1" applyBorder="1" applyAlignment="1">
      <alignment horizontal="center" vertical="top" wrapText="1"/>
    </xf>
    <xf numFmtId="0" fontId="9" fillId="7" borderId="9" xfId="1" applyFont="1" applyFill="1" applyBorder="1" applyAlignment="1">
      <alignment horizontal="center" vertical="top" wrapText="1"/>
    </xf>
    <xf numFmtId="0" fontId="9" fillId="7" borderId="10" xfId="1" applyFont="1" applyFill="1" applyBorder="1" applyAlignment="1">
      <alignment horizontal="center" vertical="top" wrapText="1"/>
    </xf>
    <xf numFmtId="0" fontId="9" fillId="7" borderId="11" xfId="1" applyFont="1" applyFill="1" applyBorder="1" applyAlignment="1">
      <alignment horizontal="center" vertical="top" wrapText="1"/>
    </xf>
    <xf numFmtId="15" fontId="4" fillId="3" borderId="9" xfId="0" applyNumberFormat="1" applyFont="1" applyFill="1" applyBorder="1" applyAlignment="1" applyProtection="1">
      <alignment horizontal="left" vertical="top" wrapText="1"/>
      <protection locked="0"/>
    </xf>
    <xf numFmtId="0" fontId="4" fillId="3" borderId="10" xfId="0" applyFont="1" applyFill="1" applyBorder="1" applyAlignment="1" applyProtection="1">
      <alignment horizontal="left" vertical="top" wrapText="1"/>
      <protection locked="0"/>
    </xf>
    <xf numFmtId="0" fontId="4" fillId="3" borderId="11" xfId="0" applyFont="1" applyFill="1" applyBorder="1" applyAlignment="1" applyProtection="1">
      <alignment horizontal="left" vertical="top" wrapText="1"/>
      <protection locked="0"/>
    </xf>
    <xf numFmtId="0" fontId="2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 applyProtection="1">
      <alignment horizontal="center" vertical="top" wrapText="1"/>
      <protection locked="0"/>
    </xf>
    <xf numFmtId="0" fontId="4" fillId="3" borderId="7" xfId="0" applyFont="1" applyFill="1" applyBorder="1" applyAlignment="1" applyProtection="1">
      <alignment horizontal="center" vertical="top" wrapText="1"/>
      <protection locked="0"/>
    </xf>
    <xf numFmtId="0" fontId="4" fillId="3" borderId="8" xfId="0" applyFont="1" applyFill="1" applyBorder="1" applyAlignment="1" applyProtection="1">
      <alignment horizontal="center" vertical="top" wrapText="1"/>
      <protection locked="0"/>
    </xf>
    <xf numFmtId="0" fontId="4" fillId="3" borderId="9" xfId="0" applyFont="1" applyFill="1" applyBorder="1" applyAlignment="1" applyProtection="1">
      <alignment horizontal="left" vertical="top" wrapText="1"/>
      <protection locked="0"/>
    </xf>
  </cellXfs>
  <cellStyles count="2">
    <cellStyle name="Normal" xfId="0" builtinId="0"/>
    <cellStyle name="Normal 2" xfId="1" xr:uid="{00000000-0005-0000-0000-000001000000}"/>
  </cellStyles>
  <dxfs count="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438149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809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E18" sqref="E18"/>
    </sheetView>
  </sheetViews>
  <sheetFormatPr defaultColWidth="9.140625" defaultRowHeight="12.75" x14ac:dyDescent="0.2"/>
  <cols>
    <col min="1" max="1" width="20.7109375" style="33" customWidth="1"/>
    <col min="2" max="2" width="18.85546875" style="33" customWidth="1"/>
    <col min="3" max="3" width="23.42578125" style="33" customWidth="1"/>
    <col min="4" max="4" width="22" style="33" customWidth="1"/>
    <col min="5" max="5" width="22.28515625" style="33" customWidth="1"/>
    <col min="6" max="6" width="26.140625" style="33" customWidth="1"/>
    <col min="7" max="16384" width="9.140625" style="33"/>
  </cols>
  <sheetData>
    <row r="1" spans="1:6" ht="15.75" x14ac:dyDescent="0.25">
      <c r="A1" s="32" t="s">
        <v>89</v>
      </c>
    </row>
    <row r="2" spans="1:6" ht="15" x14ac:dyDescent="0.2">
      <c r="A2" s="40" t="s">
        <v>90</v>
      </c>
      <c r="B2" s="40" t="s">
        <v>91</v>
      </c>
      <c r="C2" s="40" t="s">
        <v>92</v>
      </c>
      <c r="D2" s="34" t="s">
        <v>93</v>
      </c>
      <c r="E2" s="34" t="s">
        <v>94</v>
      </c>
      <c r="F2" s="34" t="s">
        <v>95</v>
      </c>
    </row>
    <row r="3" spans="1:6" ht="15" x14ac:dyDescent="0.2">
      <c r="A3" s="41"/>
      <c r="B3" s="41"/>
      <c r="C3" s="41"/>
      <c r="D3" s="42" t="s">
        <v>96</v>
      </c>
      <c r="E3" s="43"/>
      <c r="F3" s="44"/>
    </row>
    <row r="4" spans="1:6" x14ac:dyDescent="0.2">
      <c r="A4" s="35"/>
      <c r="B4" s="36"/>
      <c r="C4" s="37"/>
      <c r="D4" s="37"/>
      <c r="E4" s="37"/>
      <c r="F4" s="37"/>
    </row>
    <row r="5" spans="1:6" x14ac:dyDescent="0.2">
      <c r="A5" s="35"/>
      <c r="B5" s="36"/>
      <c r="C5" s="37"/>
      <c r="D5" s="37"/>
      <c r="E5" s="37"/>
      <c r="F5" s="37"/>
    </row>
    <row r="6" spans="1:6" x14ac:dyDescent="0.2">
      <c r="A6" s="35"/>
      <c r="B6" s="36"/>
      <c r="C6" s="37"/>
      <c r="D6" s="37"/>
      <c r="E6" s="37"/>
      <c r="F6" s="37"/>
    </row>
    <row r="7" spans="1:6" x14ac:dyDescent="0.2">
      <c r="A7" s="35"/>
      <c r="B7" s="36"/>
      <c r="C7" s="37"/>
      <c r="D7" s="37"/>
      <c r="E7" s="37"/>
      <c r="F7" s="37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tabSelected="1" topLeftCell="A69" workbookViewId="0">
      <selection activeCell="A77" sqref="A77"/>
    </sheetView>
  </sheetViews>
  <sheetFormatPr defaultRowHeight="15" x14ac:dyDescent="0.25"/>
  <cols>
    <col min="1" max="1" width="13.5703125" bestFit="1" customWidth="1"/>
    <col min="2" max="2" width="45" customWidth="1"/>
    <col min="3" max="3" width="11.140625" bestFit="1" customWidth="1"/>
    <col min="4" max="4" width="29" customWidth="1"/>
  </cols>
  <sheetData>
    <row r="1" spans="1:5" ht="36" customHeight="1" thickBot="1" x14ac:dyDescent="0.3">
      <c r="A1" s="48" t="s">
        <v>0</v>
      </c>
      <c r="B1" s="49"/>
      <c r="C1" s="49"/>
      <c r="D1" s="50"/>
      <c r="E1" t="s">
        <v>88</v>
      </c>
    </row>
    <row r="2" spans="1:5" x14ac:dyDescent="0.25">
      <c r="A2" s="1" t="s">
        <v>1</v>
      </c>
      <c r="B2" s="51"/>
      <c r="C2" s="52"/>
      <c r="D2" s="53"/>
    </row>
    <row r="3" spans="1:5" x14ac:dyDescent="0.25">
      <c r="A3" s="2" t="s">
        <v>2</v>
      </c>
      <c r="B3" s="54"/>
      <c r="C3" s="46"/>
      <c r="D3" s="47"/>
    </row>
    <row r="4" spans="1:5" x14ac:dyDescent="0.25">
      <c r="A4" s="2" t="s">
        <v>3</v>
      </c>
      <c r="B4" s="54"/>
      <c r="C4" s="46"/>
      <c r="D4" s="47"/>
    </row>
    <row r="5" spans="1:5" x14ac:dyDescent="0.25">
      <c r="A5" s="2" t="s">
        <v>4</v>
      </c>
      <c r="B5" s="54"/>
      <c r="C5" s="46"/>
      <c r="D5" s="47"/>
    </row>
    <row r="6" spans="1:5" x14ac:dyDescent="0.25">
      <c r="A6" s="2" t="s">
        <v>5</v>
      </c>
      <c r="B6" s="45"/>
      <c r="C6" s="46"/>
      <c r="D6" s="47"/>
    </row>
    <row r="7" spans="1:5" ht="30" x14ac:dyDescent="0.25">
      <c r="A7" s="2" t="s">
        <v>87</v>
      </c>
      <c r="B7" s="29"/>
      <c r="C7" s="30"/>
      <c r="D7" s="31"/>
    </row>
    <row r="8" spans="1:5" x14ac:dyDescent="0.25">
      <c r="A8" s="2" t="s">
        <v>6</v>
      </c>
      <c r="B8" s="12"/>
      <c r="C8" s="13"/>
      <c r="D8" s="14"/>
    </row>
    <row r="9" spans="1:5" x14ac:dyDescent="0.25">
      <c r="A9" s="3" t="s">
        <v>7</v>
      </c>
      <c r="B9" s="3" t="s">
        <v>8</v>
      </c>
      <c r="C9" s="3" t="s">
        <v>9</v>
      </c>
      <c r="D9" s="3" t="s">
        <v>10</v>
      </c>
    </row>
    <row r="10" spans="1:5" x14ac:dyDescent="0.25">
      <c r="A10" s="4" t="s">
        <v>11</v>
      </c>
      <c r="B10" s="5" t="s">
        <v>23</v>
      </c>
      <c r="C10" s="4"/>
      <c r="D10" s="4"/>
    </row>
    <row r="11" spans="1:5" ht="30" x14ac:dyDescent="0.25">
      <c r="A11" s="6">
        <v>1</v>
      </c>
      <c r="B11" s="7" t="s">
        <v>63</v>
      </c>
      <c r="C11" s="8" t="s">
        <v>12</v>
      </c>
      <c r="D11" s="9"/>
    </row>
    <row r="12" spans="1:5" ht="60" x14ac:dyDescent="0.25">
      <c r="A12" s="6">
        <v>2</v>
      </c>
      <c r="B12" s="7" t="s">
        <v>20</v>
      </c>
      <c r="C12" s="8" t="s">
        <v>12</v>
      </c>
      <c r="D12" s="9"/>
    </row>
    <row r="13" spans="1:5" ht="30" x14ac:dyDescent="0.25">
      <c r="A13" s="6">
        <v>3</v>
      </c>
      <c r="B13" s="7" t="s">
        <v>64</v>
      </c>
      <c r="C13" s="8" t="s">
        <v>12</v>
      </c>
      <c r="D13" s="9"/>
    </row>
    <row r="14" spans="1:5" ht="45" x14ac:dyDescent="0.25">
      <c r="A14" s="6">
        <v>4</v>
      </c>
      <c r="B14" s="7" t="s">
        <v>21</v>
      </c>
      <c r="C14" s="8" t="s">
        <v>12</v>
      </c>
      <c r="D14" s="9"/>
    </row>
    <row r="15" spans="1:5" ht="60" x14ac:dyDescent="0.25">
      <c r="A15" s="6">
        <v>5</v>
      </c>
      <c r="B15" s="7" t="s">
        <v>25</v>
      </c>
      <c r="C15" s="8" t="s">
        <v>12</v>
      </c>
      <c r="D15" s="9"/>
    </row>
    <row r="16" spans="1:5" ht="60" x14ac:dyDescent="0.25">
      <c r="A16" s="6">
        <v>6</v>
      </c>
      <c r="B16" s="7" t="s">
        <v>22</v>
      </c>
      <c r="C16" s="8" t="s">
        <v>12</v>
      </c>
      <c r="D16" s="9"/>
    </row>
    <row r="17" spans="1:4" ht="45" x14ac:dyDescent="0.25">
      <c r="A17" s="6">
        <v>7</v>
      </c>
      <c r="B17" s="7" t="s">
        <v>28</v>
      </c>
      <c r="C17" s="8" t="s">
        <v>12</v>
      </c>
      <c r="D17" s="9"/>
    </row>
    <row r="18" spans="1:4" ht="45" x14ac:dyDescent="0.25">
      <c r="A18" s="6">
        <v>8</v>
      </c>
      <c r="B18" s="7" t="s">
        <v>26</v>
      </c>
      <c r="C18" s="8" t="s">
        <v>12</v>
      </c>
      <c r="D18" s="9"/>
    </row>
    <row r="19" spans="1:4" ht="75" x14ac:dyDescent="0.25">
      <c r="A19" s="6">
        <v>9</v>
      </c>
      <c r="B19" s="7" t="s">
        <v>24</v>
      </c>
      <c r="C19" s="8" t="s">
        <v>12</v>
      </c>
      <c r="D19" s="9"/>
    </row>
    <row r="20" spans="1:4" x14ac:dyDescent="0.25">
      <c r="A20" s="4" t="s">
        <v>13</v>
      </c>
      <c r="B20" s="5" t="s">
        <v>27</v>
      </c>
      <c r="C20" s="4"/>
      <c r="D20" s="4"/>
    </row>
    <row r="21" spans="1:4" ht="45" x14ac:dyDescent="0.25">
      <c r="A21" s="6">
        <v>10</v>
      </c>
      <c r="B21" s="7" t="s">
        <v>30</v>
      </c>
      <c r="C21" s="8" t="s">
        <v>12</v>
      </c>
      <c r="D21" s="9"/>
    </row>
    <row r="22" spans="1:4" ht="60" x14ac:dyDescent="0.25">
      <c r="A22" s="6">
        <v>11</v>
      </c>
      <c r="B22" s="7" t="s">
        <v>31</v>
      </c>
      <c r="C22" s="8" t="s">
        <v>12</v>
      </c>
      <c r="D22" s="9"/>
    </row>
    <row r="23" spans="1:4" ht="39" customHeight="1" x14ac:dyDescent="0.25">
      <c r="A23" s="6">
        <v>12</v>
      </c>
      <c r="B23" s="7" t="s">
        <v>32</v>
      </c>
      <c r="C23" s="8" t="s">
        <v>12</v>
      </c>
      <c r="D23" s="9"/>
    </row>
    <row r="24" spans="1:4" ht="30" x14ac:dyDescent="0.25">
      <c r="A24" s="6">
        <v>13</v>
      </c>
      <c r="B24" s="7" t="s">
        <v>36</v>
      </c>
      <c r="C24" s="8" t="s">
        <v>12</v>
      </c>
      <c r="D24" s="9"/>
    </row>
    <row r="25" spans="1:4" ht="60" x14ac:dyDescent="0.25">
      <c r="A25" s="6">
        <v>14</v>
      </c>
      <c r="B25" s="7" t="s">
        <v>66</v>
      </c>
      <c r="C25" s="8" t="s">
        <v>12</v>
      </c>
      <c r="D25" s="9"/>
    </row>
    <row r="26" spans="1:4" ht="30" x14ac:dyDescent="0.25">
      <c r="A26" s="6">
        <v>15</v>
      </c>
      <c r="B26" s="7" t="s">
        <v>33</v>
      </c>
      <c r="C26" s="8" t="s">
        <v>12</v>
      </c>
      <c r="D26" s="9"/>
    </row>
    <row r="27" spans="1:4" ht="30" x14ac:dyDescent="0.25">
      <c r="A27" s="6">
        <v>16</v>
      </c>
      <c r="B27" s="7" t="s">
        <v>34</v>
      </c>
      <c r="C27" s="8" t="s">
        <v>12</v>
      </c>
      <c r="D27" s="28"/>
    </row>
    <row r="28" spans="1:4" ht="60" x14ac:dyDescent="0.25">
      <c r="A28" s="6">
        <v>17</v>
      </c>
      <c r="B28" s="7" t="s">
        <v>35</v>
      </c>
      <c r="C28" s="8" t="s">
        <v>12</v>
      </c>
      <c r="D28" s="9"/>
    </row>
    <row r="29" spans="1:4" ht="45" x14ac:dyDescent="0.25">
      <c r="A29" s="6">
        <v>18</v>
      </c>
      <c r="B29" s="7" t="s">
        <v>67</v>
      </c>
      <c r="C29" s="8" t="s">
        <v>12</v>
      </c>
      <c r="D29" s="9"/>
    </row>
    <row r="30" spans="1:4" ht="48" customHeight="1" x14ac:dyDescent="0.25">
      <c r="A30" s="6">
        <v>19</v>
      </c>
      <c r="B30" s="10" t="s">
        <v>68</v>
      </c>
      <c r="C30" s="8" t="s">
        <v>12</v>
      </c>
      <c r="D30" s="9"/>
    </row>
    <row r="31" spans="1:4" ht="45" x14ac:dyDescent="0.25">
      <c r="A31" s="6">
        <v>20</v>
      </c>
      <c r="B31" s="10" t="s">
        <v>69</v>
      </c>
      <c r="C31" s="8" t="s">
        <v>12</v>
      </c>
      <c r="D31" s="9"/>
    </row>
    <row r="32" spans="1:4" ht="30" x14ac:dyDescent="0.25">
      <c r="A32" s="6">
        <v>21</v>
      </c>
      <c r="B32" s="10" t="s">
        <v>38</v>
      </c>
      <c r="C32" s="8" t="s">
        <v>12</v>
      </c>
      <c r="D32" s="9"/>
    </row>
    <row r="33" spans="1:5" ht="45" x14ac:dyDescent="0.25">
      <c r="A33" s="6">
        <v>22</v>
      </c>
      <c r="B33" s="15" t="s">
        <v>37</v>
      </c>
      <c r="C33" s="8" t="s">
        <v>12</v>
      </c>
      <c r="D33" s="9"/>
    </row>
    <row r="34" spans="1:5" ht="60" x14ac:dyDescent="0.25">
      <c r="A34" s="6">
        <v>23</v>
      </c>
      <c r="B34" s="10" t="s">
        <v>39</v>
      </c>
      <c r="C34" s="8" t="s">
        <v>12</v>
      </c>
      <c r="D34" s="9"/>
    </row>
    <row r="35" spans="1:5" ht="60" x14ac:dyDescent="0.25">
      <c r="A35" s="6">
        <v>24</v>
      </c>
      <c r="B35" s="10" t="s">
        <v>40</v>
      </c>
      <c r="C35" s="8" t="s">
        <v>12</v>
      </c>
      <c r="D35" s="9"/>
    </row>
    <row r="36" spans="1:5" ht="60" x14ac:dyDescent="0.25">
      <c r="A36" s="6">
        <v>25</v>
      </c>
      <c r="B36" s="10" t="s">
        <v>29</v>
      </c>
      <c r="C36" s="8" t="s">
        <v>12</v>
      </c>
      <c r="D36" s="9"/>
    </row>
    <row r="37" spans="1:5" ht="75" x14ac:dyDescent="0.25">
      <c r="A37" s="6">
        <v>26</v>
      </c>
      <c r="B37" s="10" t="s">
        <v>43</v>
      </c>
      <c r="C37" s="8" t="s">
        <v>12</v>
      </c>
      <c r="D37" s="9"/>
    </row>
    <row r="38" spans="1:5" ht="30" x14ac:dyDescent="0.25">
      <c r="A38" s="6">
        <v>27</v>
      </c>
      <c r="B38" s="10" t="s">
        <v>41</v>
      </c>
      <c r="C38" s="8" t="s">
        <v>12</v>
      </c>
      <c r="D38" s="9"/>
    </row>
    <row r="39" spans="1:5" ht="30" x14ac:dyDescent="0.25">
      <c r="A39" s="6">
        <v>28</v>
      </c>
      <c r="B39" s="10" t="s">
        <v>42</v>
      </c>
      <c r="C39" s="8" t="s">
        <v>12</v>
      </c>
      <c r="D39" s="9"/>
    </row>
    <row r="40" spans="1:5" ht="30" x14ac:dyDescent="0.25">
      <c r="A40" s="6">
        <v>29</v>
      </c>
      <c r="B40" s="10" t="s">
        <v>80</v>
      </c>
      <c r="C40" s="38" t="s">
        <v>12</v>
      </c>
      <c r="D40" s="39"/>
      <c r="E40" s="27"/>
    </row>
    <row r="41" spans="1:5" ht="75" x14ac:dyDescent="0.25">
      <c r="A41" s="6">
        <v>30</v>
      </c>
      <c r="B41" s="10" t="s">
        <v>81</v>
      </c>
      <c r="C41" s="38" t="s">
        <v>12</v>
      </c>
      <c r="D41" s="39"/>
      <c r="E41" s="27"/>
    </row>
    <row r="42" spans="1:5" ht="45" x14ac:dyDescent="0.25">
      <c r="A42" s="6">
        <v>31</v>
      </c>
      <c r="B42" s="10" t="s">
        <v>83</v>
      </c>
      <c r="C42" s="38" t="s">
        <v>12</v>
      </c>
      <c r="D42" s="39"/>
      <c r="E42" s="27"/>
    </row>
    <row r="43" spans="1:5" ht="30" x14ac:dyDescent="0.25">
      <c r="A43" s="6">
        <v>32</v>
      </c>
      <c r="B43" s="10" t="s">
        <v>84</v>
      </c>
      <c r="C43" s="38" t="s">
        <v>12</v>
      </c>
      <c r="D43" s="39"/>
      <c r="E43" s="27"/>
    </row>
    <row r="44" spans="1:5" ht="30" x14ac:dyDescent="0.25">
      <c r="A44" s="6">
        <v>33</v>
      </c>
      <c r="B44" s="10" t="s">
        <v>85</v>
      </c>
      <c r="C44" s="38" t="s">
        <v>12</v>
      </c>
      <c r="D44" s="39"/>
      <c r="E44" s="27"/>
    </row>
    <row r="45" spans="1:5" ht="75" x14ac:dyDescent="0.25">
      <c r="A45" s="6">
        <v>34</v>
      </c>
      <c r="B45" s="10" t="s">
        <v>82</v>
      </c>
      <c r="C45" s="38" t="s">
        <v>12</v>
      </c>
      <c r="D45" s="39"/>
      <c r="E45" s="27"/>
    </row>
    <row r="46" spans="1:5" ht="30" x14ac:dyDescent="0.25">
      <c r="A46" s="6">
        <v>35</v>
      </c>
      <c r="B46" s="10" t="s">
        <v>86</v>
      </c>
      <c r="C46" s="38" t="s">
        <v>12</v>
      </c>
      <c r="D46" s="39"/>
      <c r="E46" s="27"/>
    </row>
    <row r="47" spans="1:5" x14ac:dyDescent="0.25">
      <c r="A47" s="4" t="s">
        <v>14</v>
      </c>
      <c r="B47" s="5" t="s">
        <v>44</v>
      </c>
      <c r="C47" s="4"/>
      <c r="D47" s="4"/>
    </row>
    <row r="48" spans="1:5" s="22" customFormat="1" ht="75" x14ac:dyDescent="0.25">
      <c r="A48" s="19">
        <v>36</v>
      </c>
      <c r="B48" s="20" t="s">
        <v>74</v>
      </c>
      <c r="C48" s="8" t="s">
        <v>12</v>
      </c>
      <c r="D48" s="21"/>
    </row>
    <row r="49" spans="1:4" ht="46.5" customHeight="1" x14ac:dyDescent="0.25">
      <c r="A49" s="6">
        <v>37</v>
      </c>
      <c r="B49" s="10" t="s">
        <v>45</v>
      </c>
      <c r="C49" s="8" t="s">
        <v>12</v>
      </c>
      <c r="D49" s="9"/>
    </row>
    <row r="50" spans="1:4" ht="45" x14ac:dyDescent="0.25">
      <c r="A50" s="19">
        <v>38</v>
      </c>
      <c r="B50" s="10" t="s">
        <v>70</v>
      </c>
      <c r="C50" s="8" t="s">
        <v>12</v>
      </c>
      <c r="D50" s="9"/>
    </row>
    <row r="51" spans="1:4" ht="30" x14ac:dyDescent="0.25">
      <c r="A51" s="6">
        <v>39</v>
      </c>
      <c r="B51" s="10" t="s">
        <v>46</v>
      </c>
      <c r="C51" s="8" t="s">
        <v>12</v>
      </c>
      <c r="D51" s="9"/>
    </row>
    <row r="52" spans="1:4" ht="45" x14ac:dyDescent="0.25">
      <c r="A52" s="19">
        <v>40</v>
      </c>
      <c r="B52" s="15" t="s">
        <v>51</v>
      </c>
      <c r="C52" s="8" t="s">
        <v>12</v>
      </c>
      <c r="D52" s="9"/>
    </row>
    <row r="53" spans="1:4" ht="45" x14ac:dyDescent="0.25">
      <c r="A53" s="6">
        <v>41</v>
      </c>
      <c r="B53" s="10" t="s">
        <v>49</v>
      </c>
      <c r="C53" s="8" t="s">
        <v>12</v>
      </c>
      <c r="D53" s="9"/>
    </row>
    <row r="54" spans="1:4" ht="60" x14ac:dyDescent="0.25">
      <c r="A54" s="19">
        <v>42</v>
      </c>
      <c r="B54" s="10" t="s">
        <v>48</v>
      </c>
      <c r="C54" s="8" t="s">
        <v>12</v>
      </c>
      <c r="D54" s="9"/>
    </row>
    <row r="55" spans="1:4" ht="75" x14ac:dyDescent="0.25">
      <c r="A55" s="6">
        <v>43</v>
      </c>
      <c r="B55" s="10" t="s">
        <v>47</v>
      </c>
      <c r="C55" s="8" t="s">
        <v>12</v>
      </c>
      <c r="D55" s="9"/>
    </row>
    <row r="56" spans="1:4" ht="45" x14ac:dyDescent="0.25">
      <c r="A56" s="19">
        <v>44</v>
      </c>
      <c r="B56" s="10" t="s">
        <v>97</v>
      </c>
      <c r="C56" s="8"/>
      <c r="D56" s="9"/>
    </row>
    <row r="57" spans="1:4" ht="30" x14ac:dyDescent="0.25">
      <c r="A57" s="6">
        <v>45</v>
      </c>
      <c r="B57" s="10" t="s">
        <v>50</v>
      </c>
      <c r="C57" s="8" t="s">
        <v>12</v>
      </c>
      <c r="D57" s="9"/>
    </row>
    <row r="58" spans="1:4" ht="60" x14ac:dyDescent="0.25">
      <c r="A58" s="19">
        <v>46</v>
      </c>
      <c r="B58" s="10" t="s">
        <v>71</v>
      </c>
      <c r="C58" s="8" t="s">
        <v>12</v>
      </c>
      <c r="D58" s="9"/>
    </row>
    <row r="59" spans="1:4" ht="30" x14ac:dyDescent="0.25">
      <c r="A59" s="6">
        <v>47</v>
      </c>
      <c r="B59" s="10" t="s">
        <v>52</v>
      </c>
      <c r="C59" s="8" t="s">
        <v>12</v>
      </c>
      <c r="D59" s="9"/>
    </row>
    <row r="60" spans="1:4" s="22" customFormat="1" ht="90" x14ac:dyDescent="0.25">
      <c r="A60" s="19">
        <v>48</v>
      </c>
      <c r="B60" s="20" t="s">
        <v>75</v>
      </c>
      <c r="C60" s="8" t="s">
        <v>12</v>
      </c>
      <c r="D60" s="21"/>
    </row>
    <row r="61" spans="1:4" ht="30" x14ac:dyDescent="0.25">
      <c r="A61" s="6">
        <v>49</v>
      </c>
      <c r="B61" s="10" t="s">
        <v>53</v>
      </c>
      <c r="C61" s="8" t="s">
        <v>12</v>
      </c>
      <c r="D61" s="9"/>
    </row>
    <row r="62" spans="1:4" ht="30" x14ac:dyDescent="0.25">
      <c r="A62" s="19">
        <v>50</v>
      </c>
      <c r="B62" s="10" t="s">
        <v>54</v>
      </c>
      <c r="C62" s="8" t="s">
        <v>12</v>
      </c>
      <c r="D62" s="9"/>
    </row>
    <row r="63" spans="1:4" ht="30" x14ac:dyDescent="0.25">
      <c r="A63" s="6">
        <v>51</v>
      </c>
      <c r="B63" s="10" t="s">
        <v>15</v>
      </c>
      <c r="C63" s="8" t="s">
        <v>12</v>
      </c>
      <c r="D63" s="9"/>
    </row>
    <row r="64" spans="1:4" ht="45" x14ac:dyDescent="0.25">
      <c r="A64" s="19">
        <v>52</v>
      </c>
      <c r="B64" s="10" t="s">
        <v>55</v>
      </c>
      <c r="C64" s="8" t="s">
        <v>12</v>
      </c>
      <c r="D64" s="9"/>
    </row>
    <row r="65" spans="1:8" ht="30" x14ac:dyDescent="0.25">
      <c r="A65" s="6">
        <v>53</v>
      </c>
      <c r="B65" s="10" t="s">
        <v>56</v>
      </c>
      <c r="C65" s="8" t="s">
        <v>12</v>
      </c>
      <c r="D65" s="9"/>
    </row>
    <row r="66" spans="1:8" ht="30" x14ac:dyDescent="0.25">
      <c r="A66" s="19">
        <v>54</v>
      </c>
      <c r="B66" s="10" t="s">
        <v>16</v>
      </c>
      <c r="C66" s="8" t="s">
        <v>12</v>
      </c>
      <c r="D66" s="9"/>
    </row>
    <row r="67" spans="1:8" x14ac:dyDescent="0.25">
      <c r="A67" s="4" t="s">
        <v>17</v>
      </c>
      <c r="B67" s="5" t="s">
        <v>58</v>
      </c>
      <c r="C67" s="4"/>
      <c r="D67" s="4"/>
    </row>
    <row r="68" spans="1:8" s="17" customFormat="1" ht="45" x14ac:dyDescent="0.25">
      <c r="A68" s="18">
        <v>55</v>
      </c>
      <c r="B68" s="10" t="s">
        <v>72</v>
      </c>
      <c r="C68" s="8" t="s">
        <v>12</v>
      </c>
      <c r="D68" s="16"/>
    </row>
    <row r="69" spans="1:8" ht="60" x14ac:dyDescent="0.25">
      <c r="A69" s="18">
        <v>56</v>
      </c>
      <c r="B69" s="10" t="s">
        <v>65</v>
      </c>
      <c r="C69" s="8" t="s">
        <v>12</v>
      </c>
      <c r="D69" s="16"/>
    </row>
    <row r="70" spans="1:8" ht="45" x14ac:dyDescent="0.25">
      <c r="A70" s="18">
        <v>57</v>
      </c>
      <c r="B70" s="10" t="s">
        <v>62</v>
      </c>
      <c r="C70" s="8" t="s">
        <v>12</v>
      </c>
      <c r="D70" s="9"/>
      <c r="G70" s="17"/>
      <c r="H70" s="17"/>
    </row>
    <row r="71" spans="1:8" ht="60" x14ac:dyDescent="0.25">
      <c r="A71" s="18">
        <v>58</v>
      </c>
      <c r="B71" s="10" t="s">
        <v>57</v>
      </c>
      <c r="C71" s="8" t="s">
        <v>12</v>
      </c>
      <c r="D71" s="9"/>
    </row>
    <row r="72" spans="1:8" ht="45" x14ac:dyDescent="0.25">
      <c r="A72" s="18">
        <v>59</v>
      </c>
      <c r="B72" s="10" t="s">
        <v>59</v>
      </c>
      <c r="C72" s="8" t="s">
        <v>12</v>
      </c>
      <c r="D72" s="9"/>
    </row>
    <row r="73" spans="1:8" x14ac:dyDescent="0.25">
      <c r="A73" s="4" t="s">
        <v>18</v>
      </c>
      <c r="B73" s="5" t="s">
        <v>19</v>
      </c>
      <c r="C73" s="4"/>
      <c r="D73" s="4"/>
    </row>
    <row r="74" spans="1:8" ht="45" x14ac:dyDescent="0.25">
      <c r="A74" s="6">
        <v>60</v>
      </c>
      <c r="B74" s="10" t="s">
        <v>73</v>
      </c>
      <c r="C74" s="8" t="s">
        <v>12</v>
      </c>
      <c r="D74" s="9"/>
    </row>
    <row r="75" spans="1:8" ht="30" x14ac:dyDescent="0.25">
      <c r="A75" s="6">
        <v>61</v>
      </c>
      <c r="B75" s="10" t="s">
        <v>61</v>
      </c>
      <c r="C75" s="8" t="s">
        <v>12</v>
      </c>
      <c r="D75" s="9"/>
    </row>
    <row r="76" spans="1:8" x14ac:dyDescent="0.25">
      <c r="A76" s="6">
        <v>62</v>
      </c>
      <c r="B76" s="10" t="s">
        <v>60</v>
      </c>
      <c r="C76" s="8" t="s">
        <v>12</v>
      </c>
      <c r="D76" s="9"/>
    </row>
    <row r="77" spans="1:8" x14ac:dyDescent="0.25">
      <c r="A77" s="11"/>
      <c r="B77" s="11"/>
      <c r="C77" s="11"/>
      <c r="D77" s="11"/>
    </row>
    <row r="78" spans="1:8" x14ac:dyDescent="0.25">
      <c r="A78" s="11"/>
      <c r="B78" s="11"/>
      <c r="C78" s="11"/>
      <c r="D78" s="11"/>
    </row>
    <row r="79" spans="1:8" x14ac:dyDescent="0.25">
      <c r="A79" s="11"/>
      <c r="B79" s="23" t="s">
        <v>76</v>
      </c>
      <c r="C79" s="24">
        <f>COUNTIF($C$11:$C$76,"Yes")</f>
        <v>0</v>
      </c>
      <c r="D79" s="11"/>
    </row>
    <row r="80" spans="1:8" x14ac:dyDescent="0.25">
      <c r="A80" s="11"/>
      <c r="B80" s="23" t="s">
        <v>77</v>
      </c>
      <c r="C80" s="24">
        <f>COUNTIF($C$11:$C$76,"NO")</f>
        <v>0</v>
      </c>
      <c r="D80" s="11"/>
    </row>
    <row r="81" spans="1:4" x14ac:dyDescent="0.25">
      <c r="A81" s="11"/>
      <c r="B81" s="23" t="s">
        <v>78</v>
      </c>
      <c r="C81" s="24">
        <f>COUNTIF($C$11:$C$76,"NA")</f>
        <v>61</v>
      </c>
      <c r="D81" s="11"/>
    </row>
    <row r="82" spans="1:4" x14ac:dyDescent="0.25">
      <c r="A82" s="11"/>
      <c r="B82" s="25" t="s">
        <v>79</v>
      </c>
      <c r="C82" s="26" t="e">
        <f>C79*100/SUM(C79:C80)</f>
        <v>#DIV/0!</v>
      </c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</sheetData>
  <mergeCells count="6">
    <mergeCell ref="B6:D6"/>
    <mergeCell ref="A1:D1"/>
    <mergeCell ref="B2:D2"/>
    <mergeCell ref="B3:D3"/>
    <mergeCell ref="B4:D4"/>
    <mergeCell ref="B5:D5"/>
  </mergeCells>
  <conditionalFormatting sqref="A48:B48 D48:XFD48 A50 A52 A54 A56 A58 A60 A62 A64 A66">
    <cfRule type="cellIs" dxfId="8" priority="7" operator="equal">
      <formula>"NA"</formula>
    </cfRule>
    <cfRule type="cellIs" dxfId="7" priority="8" operator="equal">
      <formula>"Yes"</formula>
    </cfRule>
    <cfRule type="cellIs" dxfId="6" priority="9" operator="equal">
      <formula>"No"</formula>
    </cfRule>
  </conditionalFormatting>
  <conditionalFormatting sqref="B60 D60:XFD60">
    <cfRule type="cellIs" dxfId="5" priority="4" operator="equal">
      <formula>"NA"</formula>
    </cfRule>
    <cfRule type="cellIs" dxfId="4" priority="5" operator="equal">
      <formula>"Yes"</formula>
    </cfRule>
    <cfRule type="cellIs" dxfId="3" priority="6" operator="equal">
      <formula>"No"</formula>
    </cfRule>
  </conditionalFormatting>
  <conditionalFormatting sqref="C82">
    <cfRule type="cellIs" dxfId="2" priority="1" operator="greaterThanOrEqual">
      <formula>80</formula>
    </cfRule>
    <cfRule type="cellIs" dxfId="1" priority="2" operator="lessThan">
      <formula>50</formula>
    </cfRule>
    <cfRule type="cellIs" dxfId="0" priority="3" operator="between">
      <formula>50</formula>
      <formula>"&lt;80"</formula>
    </cfRule>
  </conditionalFormatting>
  <dataValidations count="2">
    <dataValidation type="list" allowBlank="1" showInputMessage="1" showErrorMessage="1" sqref="D1:D8" xr:uid="{00000000-0002-0000-0100-000000000000}">
      <formula1>"Process, Guideline, Template, Checklist, Quality Manual"</formula1>
    </dataValidation>
    <dataValidation type="list" allowBlank="1" showInputMessage="1" showErrorMessage="1" sqref="C74:C76 C68:C72 C11:C19 C48:C66 C21:C46" xr:uid="{00000000-0002-0000-0100-000001000000}">
      <formula1>"Yes, No, NA"</formula1>
    </dataValidation>
  </dataValidations>
  <pageMargins left="0.25" right="0.25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Audit checkpoints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Manish Kumar Singla</cp:lastModifiedBy>
  <dcterms:created xsi:type="dcterms:W3CDTF">2018-05-25T06:14:44Z</dcterms:created>
  <dcterms:modified xsi:type="dcterms:W3CDTF">2021-08-13T06:14:11Z</dcterms:modified>
</cp:coreProperties>
</file>